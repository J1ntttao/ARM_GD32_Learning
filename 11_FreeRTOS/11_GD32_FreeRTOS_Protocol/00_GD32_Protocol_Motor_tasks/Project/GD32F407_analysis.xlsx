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<sst xmlns="http://schemas.openxmlformats.org/spreadsheetml/2006/main" count="79" uniqueCount="60">
  <si>
    <t>GD32F407</t>
  </si>
  <si>
    <t>startup_gd32f407_427.o</t>
  </si>
  <si>
    <t>tasks.o</t>
  </si>
  <si>
    <t>app_debug.o</t>
  </si>
  <si>
    <t>protocol.o</t>
  </si>
  <si>
    <t>mc_w.l</t>
  </si>
  <si>
    <t>systick.o</t>
  </si>
  <si>
    <t>app_servo.o</t>
  </si>
  <si>
    <t>mvars.o</t>
  </si>
  <si>
    <t>stdout.o</t>
  </si>
  <si>
    <t>system_gd32f4xx.o</t>
  </si>
  <si>
    <t>printfa.o</t>
  </si>
  <si>
    <t>gd32f4xx_timer.o</t>
  </si>
  <si>
    <t>mf_w.l</t>
  </si>
  <si>
    <t>gd32f4xx_usart.o</t>
  </si>
  <si>
    <t>exti.o</t>
  </si>
  <si>
    <t>gd32f4xx_adc.o</t>
  </si>
  <si>
    <t>usart0.o</t>
  </si>
  <si>
    <t>timer.o</t>
  </si>
  <si>
    <t>dadd.o</t>
  </si>
  <si>
    <t>gd32f4xx_rcu.o</t>
  </si>
  <si>
    <t>gd32f4xx_gpio.o</t>
  </si>
  <si>
    <t>dmul.o</t>
  </si>
  <si>
    <t>adc0.o</t>
  </si>
  <si>
    <t>ddiv.o</t>
  </si>
  <si>
    <t>malloc.o</t>
  </si>
  <si>
    <t>depilogue.o</t>
  </si>
  <si>
    <t>gd32f4xx_misc.o</t>
  </si>
  <si>
    <t>circular_queue.o</t>
  </si>
  <si>
    <t>task_timer.o</t>
  </si>
  <si>
    <t>utils.o</t>
  </si>
  <si>
    <t>uldiv.o</t>
  </si>
  <si>
    <t>main.o</t>
  </si>
  <si>
    <t>dfixul.o</t>
  </si>
  <si>
    <t>cdrcmple.o</t>
  </si>
  <si>
    <t>init.o</t>
  </si>
  <si>
    <t>uidiv.o</t>
  </si>
  <si>
    <t>f2d.o</t>
  </si>
  <si>
    <t>puts.o</t>
  </si>
  <si>
    <t>memcpya.o</t>
  </si>
  <si>
    <t>llsshr.o</t>
  </si>
  <si>
    <t>llushr.o</t>
  </si>
  <si>
    <t>llshl.o</t>
  </si>
  <si>
    <t>handlers.o</t>
  </si>
  <si>
    <t>gd32f4xx_exti.o</t>
  </si>
  <si>
    <t>adc.o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</si>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</sst>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ram_percent!$A$3:$A$52</c:f>
              <c:strCache>
                <c:ptCount val="50"/>
                <c:pt idx="0">
                  <c:v>startup_gd32f407_427.o</c:v>
                </c:pt>
                <c:pt idx="1">
                  <c:v>tasks.o</c:v>
                </c:pt>
                <c:pt idx="2">
                  <c:v>app_debug.o</c:v>
                </c:pt>
                <c:pt idx="3">
                  <c:v>protocol.o</c:v>
                </c:pt>
                <c:pt idx="4">
                  <c:v>mc_w.l</c:v>
                </c:pt>
                <c:pt idx="5">
                  <c:v>systick.o</c:v>
                </c:pt>
                <c:pt idx="6">
                  <c:v>app_servo.o</c:v>
                </c:pt>
                <c:pt idx="7">
                  <c:v>mvars.o</c:v>
                </c:pt>
                <c:pt idx="8">
                  <c:v>stdout.o</c:v>
                </c:pt>
                <c:pt idx="9">
                  <c:v>system_gd32f4xx.o</c:v>
                </c:pt>
                <c:pt idx="49">
                  <c:v>Totals</c:v>
                </c:pt>
              </c:strCache>
            </c:strRef>
          </c:cat>
          <c:val>
            <c:numRef>
              <c:f>ram_percent!$B$3:$B$52</c:f>
              <c:numCache>
                <c:formatCode>General</c:formatCode>
                <c:ptCount val="50"/>
                <c:pt idx="0">
                  <c:v>92.21071624755859</c:v>
                </c:pt>
                <c:pt idx="1">
                  <c:v>2.926609516143799</c:v>
                </c:pt>
                <c:pt idx="2">
                  <c:v>1.350742936134338</c:v>
                </c:pt>
                <c:pt idx="3">
                  <c:v>1.260693430900574</c:v>
                </c:pt>
                <c:pt idx="4">
                  <c:v>0.5402971506118774</c:v>
                </c:pt>
                <c:pt idx="5">
                  <c:v>0.5402971506118774</c:v>
                </c:pt>
                <c:pt idx="6">
                  <c:v>0.4502476453781128</c:v>
                </c:pt>
                <c:pt idx="7">
                  <c:v>0.3601981103420258</c:v>
                </c:pt>
                <c:pt idx="8">
                  <c:v>0.1800990551710129</c:v>
                </c:pt>
                <c:pt idx="9">
                  <c:v>0.1800990551710129</c:v>
                </c:pt>
                <c:pt idx="4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flash_percent!$A$3:$A$52</c:f>
              <c:strCache>
                <c:ptCount val="50"/>
                <c:pt idx="0">
                  <c:v>mc_w.l</c:v>
                </c:pt>
                <c:pt idx="1">
                  <c:v>printfa.o</c:v>
                </c:pt>
                <c:pt idx="2">
                  <c:v>gd32f4xx_timer.o</c:v>
                </c:pt>
                <c:pt idx="3">
                  <c:v>mf_w.l</c:v>
                </c:pt>
                <c:pt idx="4">
                  <c:v>gd32f4xx_usart.o</c:v>
                </c:pt>
                <c:pt idx="5">
                  <c:v>system_gd32f4xx.o</c:v>
                </c:pt>
                <c:pt idx="6">
                  <c:v>exti.o</c:v>
                </c:pt>
                <c:pt idx="7">
                  <c:v>gd32f4xx_adc.o</c:v>
                </c:pt>
                <c:pt idx="8">
                  <c:v>startup_gd32f407_427.o</c:v>
                </c:pt>
                <c:pt idx="9">
                  <c:v>app_debug.o</c:v>
                </c:pt>
                <c:pt idx="10">
                  <c:v>app_servo.o</c:v>
                </c:pt>
                <c:pt idx="11">
                  <c:v>usart0.o</c:v>
                </c:pt>
                <c:pt idx="12">
                  <c:v>timer.o</c:v>
                </c:pt>
                <c:pt idx="13">
                  <c:v>dadd.o</c:v>
                </c:pt>
                <c:pt idx="14">
                  <c:v>gd32f4xx_rcu.o</c:v>
                </c:pt>
                <c:pt idx="15">
                  <c:v>protocol.o</c:v>
                </c:pt>
                <c:pt idx="16">
                  <c:v>gd32f4xx_gpio.o</c:v>
                </c:pt>
                <c:pt idx="17">
                  <c:v>tasks.o</c:v>
                </c:pt>
                <c:pt idx="18">
                  <c:v>dmul.o</c:v>
                </c:pt>
                <c:pt idx="19">
                  <c:v>adc0.o</c:v>
                </c:pt>
                <c:pt idx="20">
                  <c:v>ddiv.o</c:v>
                </c:pt>
                <c:pt idx="21">
                  <c:v>malloc.o</c:v>
                </c:pt>
                <c:pt idx="22">
                  <c:v>depilogue.o</c:v>
                </c:pt>
                <c:pt idx="23">
                  <c:v>gd32f4xx_misc.o</c:v>
                </c:pt>
                <c:pt idx="24">
                  <c:v>circular_queue.o</c:v>
                </c:pt>
                <c:pt idx="25">
                  <c:v>task_timer.o</c:v>
                </c:pt>
                <c:pt idx="26">
                  <c:v>systick.o</c:v>
                </c:pt>
                <c:pt idx="27">
                  <c:v>utils.o</c:v>
                </c:pt>
                <c:pt idx="28">
                  <c:v>uldiv.o</c:v>
                </c:pt>
                <c:pt idx="29">
                  <c:v>main.o</c:v>
                </c:pt>
                <c:pt idx="30">
                  <c:v>dfixul.o</c:v>
                </c:pt>
                <c:pt idx="31">
                  <c:v>cdrcmple.o</c:v>
                </c:pt>
                <c:pt idx="32">
                  <c:v>init.o</c:v>
                </c:pt>
                <c:pt idx="33">
                  <c:v>uidiv.o</c:v>
                </c:pt>
                <c:pt idx="34">
                  <c:v>f2d.o</c:v>
                </c:pt>
                <c:pt idx="35">
                  <c:v>puts.o</c:v>
                </c:pt>
                <c:pt idx="36">
                  <c:v>memcpya.o</c:v>
                </c:pt>
                <c:pt idx="37">
                  <c:v>llsshr.o</c:v>
                </c:pt>
                <c:pt idx="38">
                  <c:v>llushr.o</c:v>
                </c:pt>
                <c:pt idx="39">
                  <c:v>llshl.o</c:v>
                </c:pt>
                <c:pt idx="40">
                  <c:v>handlers.o</c:v>
                </c:pt>
                <c:pt idx="41">
                  <c:v>gd32f4xx_exti.o</c:v>
                </c:pt>
                <c:pt idx="42">
                  <c:v>adc.o</c:v>
                </c:pt>
                <c:pt idx="43">
                  <c:v>gd32f4xx_it.o</c:v>
                </c:pt>
                <c:pt idx="44">
                  <c:v>mvars.o</c:v>
                </c:pt>
                <c:pt idx="45">
                  <c:v>entry9a.o</c:v>
                </c:pt>
                <c:pt idx="46">
                  <c:v>entry2.o</c:v>
                </c:pt>
                <c:pt idx="47">
                  <c:v>stdout.o</c:v>
                </c:pt>
                <c:pt idx="48">
                  <c:v>entry5.o</c:v>
                </c:pt>
                <c:pt idx="49">
                  <c:v>Totals</c:v>
                </c:pt>
              </c:strCache>
            </c:strRef>
          </c:cat>
          <c:val>
            <c:numRef>
              <c:f>flash_percent!$B$3:$B$52</c:f>
              <c:numCache>
                <c:formatCode>General</c:formatCode>
                <c:ptCount val="50"/>
                <c:pt idx="0">
                  <c:v>18.78561592102051</c:v>
                </c:pt>
                <c:pt idx="1">
                  <c:v>14.79007053375244</c:v>
                </c:pt>
                <c:pt idx="2">
                  <c:v>7.440885543823242</c:v>
                </c:pt>
                <c:pt idx="3">
                  <c:v>7.231283187866211</c:v>
                </c:pt>
                <c:pt idx="4">
                  <c:v>3.930045127868652</c:v>
                </c:pt>
                <c:pt idx="5">
                  <c:v>3.497740268707275</c:v>
                </c:pt>
                <c:pt idx="6">
                  <c:v>3.078535318374634</c:v>
                </c:pt>
                <c:pt idx="7">
                  <c:v>2.882033109664917</c:v>
                </c:pt>
                <c:pt idx="8">
                  <c:v>2.80343222618103</c:v>
                </c:pt>
                <c:pt idx="9">
                  <c:v>2.777231931686401</c:v>
                </c:pt>
                <c:pt idx="10">
                  <c:v>2.384227514266968</c:v>
                </c:pt>
                <c:pt idx="11">
                  <c:v>2.279426097869873</c:v>
                </c:pt>
                <c:pt idx="12">
                  <c:v>2.253225803375244</c:v>
                </c:pt>
                <c:pt idx="13">
                  <c:v>2.187725067138672</c:v>
                </c:pt>
                <c:pt idx="14">
                  <c:v>2.109124183654785</c:v>
                </c:pt>
                <c:pt idx="15">
                  <c:v>1.847121238708496</c:v>
                </c:pt>
                <c:pt idx="16">
                  <c:v>1.729219913482666</c:v>
                </c:pt>
                <c:pt idx="17">
                  <c:v>1.526167511940002</c:v>
                </c:pt>
                <c:pt idx="18">
                  <c:v>1.493417143821716</c:v>
                </c:pt>
                <c:pt idx="19">
                  <c:v>1.480316996574402</c:v>
                </c:pt>
                <c:pt idx="20">
                  <c:v>1.454116702079773</c:v>
                </c:pt>
                <c:pt idx="21">
                  <c:v>1.231414198875427</c:v>
                </c:pt>
                <c:pt idx="22">
                  <c:v>1.218314051628113</c:v>
                </c:pt>
                <c:pt idx="23">
                  <c:v>1.179013609886169</c:v>
                </c:pt>
                <c:pt idx="24">
                  <c:v>1.126612901687622</c:v>
                </c:pt>
                <c:pt idx="25">
                  <c:v>1.021811723709106</c:v>
                </c:pt>
                <c:pt idx="26">
                  <c:v>0.9432108402252197</c:v>
                </c:pt>
                <c:pt idx="27">
                  <c:v>0.7860090136528015</c:v>
                </c:pt>
                <c:pt idx="28">
                  <c:v>0.6419073939323425</c:v>
                </c:pt>
                <c:pt idx="29">
                  <c:v>0.4192048311233521</c:v>
                </c:pt>
                <c:pt idx="30">
                  <c:v>0.314403623342514</c:v>
                </c:pt>
                <c:pt idx="31">
                  <c:v>0.314403623342514</c:v>
                </c:pt>
                <c:pt idx="32">
                  <c:v>0.314403623342514</c:v>
                </c:pt>
                <c:pt idx="33">
                  <c:v>0.2882033288478851</c:v>
                </c:pt>
                <c:pt idx="34">
                  <c:v>0.2489028573036194</c:v>
                </c:pt>
                <c:pt idx="35">
                  <c:v>0.2358027100563049</c:v>
                </c:pt>
                <c:pt idx="36">
                  <c:v>0.2358027100563049</c:v>
                </c:pt>
                <c:pt idx="37">
                  <c:v>0.2358027100563049</c:v>
                </c:pt>
                <c:pt idx="38">
                  <c:v>0.209602415561676</c:v>
                </c:pt>
                <c:pt idx="39">
                  <c:v>0.1965022534132004</c:v>
                </c:pt>
                <c:pt idx="40">
                  <c:v>0.1965022534132004</c:v>
                </c:pt>
                <c:pt idx="41">
                  <c:v>0.1965022534132004</c:v>
                </c:pt>
                <c:pt idx="42">
                  <c:v>0.1441016644239426</c:v>
                </c:pt>
                <c:pt idx="43">
                  <c:v>0.1310015022754669</c:v>
                </c:pt>
                <c:pt idx="44">
                  <c:v>0.05240060389041901</c:v>
                </c:pt>
                <c:pt idx="45">
                  <c:v>0.05240060389041901</c:v>
                </c:pt>
                <c:pt idx="46">
                  <c:v>0.05240060389041901</c:v>
                </c:pt>
                <c:pt idx="47">
                  <c:v>0.0262003019452095</c:v>
                </c:pt>
                <c:pt idx="48">
                  <c:v>0.0262003019452095</c:v>
                </c:pt>
                <c:pt idx="4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52" totalsRowCount="1">
  <autoFilter ref="A2:H51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52" totalsRowCount="1">
  <autoFilter ref="A2:H51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50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</row>
    <row r="3" spans="1:8">
      <c r="A3" s="1" t="s">
        <v>1</v>
      </c>
      <c r="B3" s="2">
        <v>92.21071624755859</v>
      </c>
      <c r="C3" s="1">
        <v>2048</v>
      </c>
      <c r="D3" s="1">
        <v>428</v>
      </c>
      <c r="E3" s="1">
        <v>36</v>
      </c>
      <c r="F3" s="1">
        <v>392</v>
      </c>
      <c r="G3" s="1">
        <v>0</v>
      </c>
      <c r="H3" s="1">
        <v>2048</v>
      </c>
    </row>
    <row r="4" spans="1:8">
      <c r="A4" s="1" t="s">
        <v>2</v>
      </c>
      <c r="B4" s="2">
        <v>2.926609516143799</v>
      </c>
      <c r="C4" s="1">
        <v>65</v>
      </c>
      <c r="D4" s="1">
        <v>233</v>
      </c>
      <c r="E4" s="1">
        <v>168</v>
      </c>
      <c r="F4" s="1">
        <v>0</v>
      </c>
      <c r="G4" s="1">
        <v>65</v>
      </c>
      <c r="H4" s="1">
        <v>0</v>
      </c>
    </row>
    <row r="5" spans="1:8">
      <c r="A5" s="1" t="s">
        <v>3</v>
      </c>
      <c r="B5" s="2">
        <v>1.350742936134338</v>
      </c>
      <c r="C5" s="1">
        <v>30</v>
      </c>
      <c r="D5" s="1">
        <v>424</v>
      </c>
      <c r="E5" s="1">
        <v>410</v>
      </c>
      <c r="F5" s="1">
        <v>0</v>
      </c>
      <c r="G5" s="1">
        <v>14</v>
      </c>
      <c r="H5" s="1">
        <v>16</v>
      </c>
    </row>
    <row r="6" spans="1:8">
      <c r="A6" s="1" t="s">
        <v>4</v>
      </c>
      <c r="B6" s="2">
        <v>1.260693430900574</v>
      </c>
      <c r="C6" s="1">
        <v>28</v>
      </c>
      <c r="D6" s="1">
        <v>282</v>
      </c>
      <c r="E6" s="1">
        <v>282</v>
      </c>
      <c r="F6" s="1">
        <v>0</v>
      </c>
      <c r="G6" s="1">
        <v>0</v>
      </c>
      <c r="H6" s="1">
        <v>28</v>
      </c>
    </row>
    <row r="7" spans="1:8">
      <c r="A7" s="1" t="s">
        <v>5</v>
      </c>
      <c r="B7" s="2">
        <v>0.5402971506118774</v>
      </c>
      <c r="C7" s="1">
        <v>12</v>
      </c>
      <c r="D7" s="1">
        <v>2868</v>
      </c>
      <c r="E7" s="1">
        <v>2856</v>
      </c>
      <c r="F7" s="1">
        <v>0</v>
      </c>
      <c r="G7" s="1">
        <v>12</v>
      </c>
      <c r="H7" s="1">
        <v>0</v>
      </c>
    </row>
    <row r="8" spans="1:8">
      <c r="A8" s="1" t="s">
        <v>6</v>
      </c>
      <c r="B8" s="2">
        <v>0.5402971506118774</v>
      </c>
      <c r="C8" s="1">
        <v>12</v>
      </c>
      <c r="D8" s="1">
        <v>144</v>
      </c>
      <c r="E8" s="1">
        <v>144</v>
      </c>
      <c r="F8" s="1">
        <v>0</v>
      </c>
      <c r="G8" s="1">
        <v>0</v>
      </c>
      <c r="H8" s="1">
        <v>12</v>
      </c>
    </row>
    <row r="9" spans="1:8">
      <c r="A9" s="1" t="s">
        <v>7</v>
      </c>
      <c r="B9" s="2">
        <v>0.4502476453781128</v>
      </c>
      <c r="C9" s="1">
        <v>10</v>
      </c>
      <c r="D9" s="1">
        <v>364</v>
      </c>
      <c r="E9" s="1">
        <v>364</v>
      </c>
      <c r="F9" s="1">
        <v>0</v>
      </c>
      <c r="G9" s="1">
        <v>0</v>
      </c>
      <c r="H9" s="1">
        <v>10</v>
      </c>
    </row>
    <row r="10" spans="1:8">
      <c r="A10" s="1" t="s">
        <v>8</v>
      </c>
      <c r="B10" s="2">
        <v>0.3601981103420258</v>
      </c>
      <c r="C10" s="1">
        <v>8</v>
      </c>
      <c r="D10" s="1">
        <v>8</v>
      </c>
      <c r="E10" s="1">
        <v>0</v>
      </c>
      <c r="F10" s="1">
        <v>0</v>
      </c>
      <c r="G10" s="1">
        <v>8</v>
      </c>
      <c r="H10" s="1">
        <v>0</v>
      </c>
    </row>
    <row r="11" spans="1:8">
      <c r="A11" s="1" t="s">
        <v>9</v>
      </c>
      <c r="B11" s="2">
        <v>0.1800990551710129</v>
      </c>
      <c r="C11" s="1">
        <v>4</v>
      </c>
      <c r="D11" s="1">
        <v>4</v>
      </c>
      <c r="E11" s="1">
        <v>0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0.1800990551710129</v>
      </c>
      <c r="C12" s="1">
        <v>4</v>
      </c>
      <c r="D12" s="1">
        <v>534</v>
      </c>
      <c r="E12" s="1">
        <v>530</v>
      </c>
      <c r="F12" s="1">
        <v>0</v>
      </c>
      <c r="G12" s="1">
        <v>4</v>
      </c>
      <c r="H12" s="1">
        <v>0</v>
      </c>
    </row>
    <row r="52" spans="1:8">
      <c r="A52" t="s">
        <v>51</v>
      </c>
      <c r="B52">
        <f>SUBTOTAL(109,[ram_percent])</f>
        <v>0</v>
      </c>
      <c r="C52">
        <f>SUBTOTAL(109,[ram])</f>
        <v>0</v>
      </c>
      <c r="D52">
        <f>SUBTOTAL(109,[flash])</f>
        <v>0</v>
      </c>
      <c r="E52">
        <f>SUBTOTAL(109,[Code])</f>
        <v>0</v>
      </c>
      <c r="F52">
        <f>SUBTOTAL(109,[RO_data])</f>
        <v>0</v>
      </c>
      <c r="G52">
        <f>SUBTOTAL(109,[RW_data])</f>
        <v>0</v>
      </c>
      <c r="H5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50</v>
      </c>
      <c r="B2" t="s">
        <v>59</v>
      </c>
      <c r="C2" t="s">
        <v>54</v>
      </c>
      <c r="D2" t="s">
        <v>53</v>
      </c>
      <c r="E2" t="s">
        <v>55</v>
      </c>
      <c r="F2" t="s">
        <v>56</v>
      </c>
      <c r="G2" t="s">
        <v>57</v>
      </c>
      <c r="H2" t="s">
        <v>58</v>
      </c>
    </row>
    <row r="3" spans="1:8">
      <c r="A3" s="1" t="s">
        <v>5</v>
      </c>
      <c r="B3" s="2">
        <v>18.78561592102051</v>
      </c>
      <c r="C3" s="1">
        <v>2868</v>
      </c>
      <c r="D3" s="1">
        <v>12</v>
      </c>
      <c r="E3" s="1">
        <v>2856</v>
      </c>
      <c r="F3" s="1">
        <v>0</v>
      </c>
      <c r="G3" s="1">
        <v>12</v>
      </c>
      <c r="H3" s="1">
        <v>0</v>
      </c>
    </row>
    <row r="4" spans="1:8">
      <c r="A4" s="1" t="s">
        <v>11</v>
      </c>
      <c r="B4" s="2">
        <v>14.79007053375244</v>
      </c>
      <c r="C4" s="1">
        <v>2258</v>
      </c>
      <c r="D4" s="1">
        <v>0</v>
      </c>
      <c r="E4" s="1">
        <v>2258</v>
      </c>
      <c r="F4" s="1">
        <v>0</v>
      </c>
      <c r="G4" s="1">
        <v>0</v>
      </c>
      <c r="H4" s="1">
        <v>0</v>
      </c>
    </row>
    <row r="5" spans="1:8">
      <c r="A5" s="1" t="s">
        <v>12</v>
      </c>
      <c r="B5" s="2">
        <v>7.440885543823242</v>
      </c>
      <c r="C5" s="1">
        <v>1136</v>
      </c>
      <c r="D5" s="1">
        <v>0</v>
      </c>
      <c r="E5" s="1">
        <v>1136</v>
      </c>
      <c r="F5" s="1">
        <v>0</v>
      </c>
      <c r="G5" s="1">
        <v>0</v>
      </c>
      <c r="H5" s="1">
        <v>0</v>
      </c>
    </row>
    <row r="6" spans="1:8">
      <c r="A6" s="1" t="s">
        <v>13</v>
      </c>
      <c r="B6" s="2">
        <v>7.231283187866211</v>
      </c>
      <c r="C6" s="1">
        <v>1104</v>
      </c>
      <c r="D6" s="1">
        <v>0</v>
      </c>
      <c r="E6" s="1">
        <v>1104</v>
      </c>
      <c r="F6" s="1">
        <v>0</v>
      </c>
      <c r="G6" s="1">
        <v>0</v>
      </c>
      <c r="H6" s="1">
        <v>0</v>
      </c>
    </row>
    <row r="7" spans="1:8">
      <c r="A7" s="1" t="s">
        <v>14</v>
      </c>
      <c r="B7" s="2">
        <v>3.930045127868652</v>
      </c>
      <c r="C7" s="1">
        <v>600</v>
      </c>
      <c r="D7" s="1">
        <v>0</v>
      </c>
      <c r="E7" s="1">
        <v>600</v>
      </c>
      <c r="F7" s="1">
        <v>0</v>
      </c>
      <c r="G7" s="1">
        <v>0</v>
      </c>
      <c r="H7" s="1">
        <v>0</v>
      </c>
    </row>
    <row r="8" spans="1:8">
      <c r="A8" s="1" t="s">
        <v>10</v>
      </c>
      <c r="B8" s="2">
        <v>3.497740268707275</v>
      </c>
      <c r="C8" s="1">
        <v>534</v>
      </c>
      <c r="D8" s="1">
        <v>4</v>
      </c>
      <c r="E8" s="1">
        <v>530</v>
      </c>
      <c r="F8" s="1">
        <v>0</v>
      </c>
      <c r="G8" s="1">
        <v>4</v>
      </c>
      <c r="H8" s="1">
        <v>0</v>
      </c>
    </row>
    <row r="9" spans="1:8">
      <c r="A9" s="1" t="s">
        <v>15</v>
      </c>
      <c r="B9" s="2">
        <v>3.078535318374634</v>
      </c>
      <c r="C9" s="1">
        <v>470</v>
      </c>
      <c r="D9" s="1">
        <v>0</v>
      </c>
      <c r="E9" s="1">
        <v>470</v>
      </c>
      <c r="F9" s="1">
        <v>0</v>
      </c>
      <c r="G9" s="1">
        <v>0</v>
      </c>
      <c r="H9" s="1">
        <v>0</v>
      </c>
    </row>
    <row r="10" spans="1:8">
      <c r="A10" s="1" t="s">
        <v>16</v>
      </c>
      <c r="B10" s="2">
        <v>2.882033109664917</v>
      </c>
      <c r="C10" s="1">
        <v>440</v>
      </c>
      <c r="D10" s="1">
        <v>0</v>
      </c>
      <c r="E10" s="1">
        <v>440</v>
      </c>
      <c r="F10" s="1">
        <v>0</v>
      </c>
      <c r="G10" s="1">
        <v>0</v>
      </c>
      <c r="H10" s="1">
        <v>0</v>
      </c>
    </row>
    <row r="11" spans="1:8">
      <c r="A11" s="1" t="s">
        <v>1</v>
      </c>
      <c r="B11" s="2">
        <v>2.80343222618103</v>
      </c>
      <c r="C11" s="1">
        <v>428</v>
      </c>
      <c r="D11" s="1">
        <v>2048</v>
      </c>
      <c r="E11" s="1">
        <v>36</v>
      </c>
      <c r="F11" s="1">
        <v>392</v>
      </c>
      <c r="G11" s="1">
        <v>0</v>
      </c>
      <c r="H11" s="1">
        <v>2048</v>
      </c>
    </row>
    <row r="12" spans="1:8">
      <c r="A12" s="1" t="s">
        <v>3</v>
      </c>
      <c r="B12" s="2">
        <v>2.777231931686401</v>
      </c>
      <c r="C12" s="1">
        <v>424</v>
      </c>
      <c r="D12" s="1">
        <v>30</v>
      </c>
      <c r="E12" s="1">
        <v>410</v>
      </c>
      <c r="F12" s="1">
        <v>0</v>
      </c>
      <c r="G12" s="1">
        <v>14</v>
      </c>
      <c r="H12" s="1">
        <v>16</v>
      </c>
    </row>
    <row r="13" spans="1:8">
      <c r="A13" s="1" t="s">
        <v>7</v>
      </c>
      <c r="B13" s="2">
        <v>2.384227514266968</v>
      </c>
      <c r="C13" s="1">
        <v>364</v>
      </c>
      <c r="D13" s="1">
        <v>10</v>
      </c>
      <c r="E13" s="1">
        <v>364</v>
      </c>
      <c r="F13" s="1">
        <v>0</v>
      </c>
      <c r="G13" s="1">
        <v>0</v>
      </c>
      <c r="H13" s="1">
        <v>10</v>
      </c>
    </row>
    <row r="14" spans="1:8">
      <c r="A14" s="1" t="s">
        <v>17</v>
      </c>
      <c r="B14" s="2">
        <v>2.279426097869873</v>
      </c>
      <c r="C14" s="1">
        <v>348</v>
      </c>
      <c r="D14" s="1">
        <v>0</v>
      </c>
      <c r="E14" s="1">
        <v>348</v>
      </c>
      <c r="F14" s="1">
        <v>0</v>
      </c>
      <c r="G14" s="1">
        <v>0</v>
      </c>
      <c r="H14" s="1">
        <v>0</v>
      </c>
    </row>
    <row r="15" spans="1:8">
      <c r="A15" s="1" t="s">
        <v>18</v>
      </c>
      <c r="B15" s="2">
        <v>2.253225803375244</v>
      </c>
      <c r="C15" s="1">
        <v>344</v>
      </c>
      <c r="D15" s="1">
        <v>0</v>
      </c>
      <c r="E15" s="1">
        <v>344</v>
      </c>
      <c r="F15" s="1">
        <v>0</v>
      </c>
      <c r="G15" s="1">
        <v>0</v>
      </c>
      <c r="H15" s="1">
        <v>0</v>
      </c>
    </row>
    <row r="16" spans="1:8">
      <c r="A16" s="1" t="s">
        <v>19</v>
      </c>
      <c r="B16" s="2">
        <v>2.187725067138672</v>
      </c>
      <c r="C16" s="1">
        <v>334</v>
      </c>
      <c r="D16" s="1">
        <v>0</v>
      </c>
      <c r="E16" s="1">
        <v>334</v>
      </c>
      <c r="F16" s="1">
        <v>0</v>
      </c>
      <c r="G16" s="1">
        <v>0</v>
      </c>
      <c r="H16" s="1">
        <v>0</v>
      </c>
    </row>
    <row r="17" spans="1:8">
      <c r="A17" s="1" t="s">
        <v>20</v>
      </c>
      <c r="B17" s="2">
        <v>2.109124183654785</v>
      </c>
      <c r="C17" s="1">
        <v>322</v>
      </c>
      <c r="D17" s="1">
        <v>0</v>
      </c>
      <c r="E17" s="1">
        <v>314</v>
      </c>
      <c r="F17" s="1">
        <v>8</v>
      </c>
      <c r="G17" s="1">
        <v>0</v>
      </c>
      <c r="H17" s="1">
        <v>0</v>
      </c>
    </row>
    <row r="18" spans="1:8">
      <c r="A18" s="1" t="s">
        <v>4</v>
      </c>
      <c r="B18" s="2">
        <v>1.847121238708496</v>
      </c>
      <c r="C18" s="1">
        <v>282</v>
      </c>
      <c r="D18" s="1">
        <v>28</v>
      </c>
      <c r="E18" s="1">
        <v>282</v>
      </c>
      <c r="F18" s="1">
        <v>0</v>
      </c>
      <c r="G18" s="1">
        <v>0</v>
      </c>
      <c r="H18" s="1">
        <v>28</v>
      </c>
    </row>
    <row r="19" spans="1:8">
      <c r="A19" s="1" t="s">
        <v>21</v>
      </c>
      <c r="B19" s="2">
        <v>1.729219913482666</v>
      </c>
      <c r="C19" s="1">
        <v>264</v>
      </c>
      <c r="D19" s="1">
        <v>0</v>
      </c>
      <c r="E19" s="1">
        <v>264</v>
      </c>
      <c r="F19" s="1">
        <v>0</v>
      </c>
      <c r="G19" s="1">
        <v>0</v>
      </c>
      <c r="H19" s="1">
        <v>0</v>
      </c>
    </row>
    <row r="20" spans="1:8">
      <c r="A20" s="1" t="s">
        <v>2</v>
      </c>
      <c r="B20" s="2">
        <v>1.526167511940002</v>
      </c>
      <c r="C20" s="1">
        <v>233</v>
      </c>
      <c r="D20" s="1">
        <v>65</v>
      </c>
      <c r="E20" s="1">
        <v>168</v>
      </c>
      <c r="F20" s="1">
        <v>0</v>
      </c>
      <c r="G20" s="1">
        <v>65</v>
      </c>
      <c r="H20" s="1">
        <v>0</v>
      </c>
    </row>
    <row r="21" spans="1:8">
      <c r="A21" s="1" t="s">
        <v>22</v>
      </c>
      <c r="B21" s="2">
        <v>1.493417143821716</v>
      </c>
      <c r="C21" s="1">
        <v>228</v>
      </c>
      <c r="D21" s="1">
        <v>0</v>
      </c>
      <c r="E21" s="1">
        <v>228</v>
      </c>
      <c r="F21" s="1">
        <v>0</v>
      </c>
      <c r="G21" s="1">
        <v>0</v>
      </c>
      <c r="H21" s="1">
        <v>0</v>
      </c>
    </row>
    <row r="22" spans="1:8">
      <c r="A22" s="1" t="s">
        <v>23</v>
      </c>
      <c r="B22" s="2">
        <v>1.480316996574402</v>
      </c>
      <c r="C22" s="1">
        <v>226</v>
      </c>
      <c r="D22" s="1">
        <v>0</v>
      </c>
      <c r="E22" s="1">
        <v>226</v>
      </c>
      <c r="F22" s="1">
        <v>0</v>
      </c>
      <c r="G22" s="1">
        <v>0</v>
      </c>
      <c r="H22" s="1">
        <v>0</v>
      </c>
    </row>
    <row r="23" spans="1:8">
      <c r="A23" s="1" t="s">
        <v>24</v>
      </c>
      <c r="B23" s="2">
        <v>1.454116702079773</v>
      </c>
      <c r="C23" s="1">
        <v>222</v>
      </c>
      <c r="D23" s="1">
        <v>0</v>
      </c>
      <c r="E23" s="1">
        <v>222</v>
      </c>
      <c r="F23" s="1">
        <v>0</v>
      </c>
      <c r="G23" s="1">
        <v>0</v>
      </c>
      <c r="H23" s="1">
        <v>0</v>
      </c>
    </row>
    <row r="24" spans="1:8">
      <c r="A24" s="1" t="s">
        <v>25</v>
      </c>
      <c r="B24" s="2">
        <v>1.231414198875427</v>
      </c>
      <c r="C24" s="1">
        <v>188</v>
      </c>
      <c r="D24" s="1">
        <v>0</v>
      </c>
      <c r="E24" s="1">
        <v>188</v>
      </c>
      <c r="F24" s="1">
        <v>0</v>
      </c>
      <c r="G24" s="1">
        <v>0</v>
      </c>
      <c r="H24" s="1">
        <v>0</v>
      </c>
    </row>
    <row r="25" spans="1:8">
      <c r="A25" s="1" t="s">
        <v>26</v>
      </c>
      <c r="B25" s="2">
        <v>1.218314051628113</v>
      </c>
      <c r="C25" s="1">
        <v>186</v>
      </c>
      <c r="D25" s="1">
        <v>0</v>
      </c>
      <c r="E25" s="1">
        <v>186</v>
      </c>
      <c r="F25" s="1">
        <v>0</v>
      </c>
      <c r="G25" s="1">
        <v>0</v>
      </c>
      <c r="H25" s="1">
        <v>0</v>
      </c>
    </row>
    <row r="26" spans="1:8">
      <c r="A26" s="1" t="s">
        <v>27</v>
      </c>
      <c r="B26" s="2">
        <v>1.179013609886169</v>
      </c>
      <c r="C26" s="1">
        <v>180</v>
      </c>
      <c r="D26" s="1">
        <v>0</v>
      </c>
      <c r="E26" s="1">
        <v>180</v>
      </c>
      <c r="F26" s="1">
        <v>0</v>
      </c>
      <c r="G26" s="1">
        <v>0</v>
      </c>
      <c r="H26" s="1">
        <v>0</v>
      </c>
    </row>
    <row r="27" spans="1:8">
      <c r="A27" s="1" t="s">
        <v>28</v>
      </c>
      <c r="B27" s="2">
        <v>1.126612901687622</v>
      </c>
      <c r="C27" s="1">
        <v>172</v>
      </c>
      <c r="D27" s="1">
        <v>0</v>
      </c>
      <c r="E27" s="1">
        <v>172</v>
      </c>
      <c r="F27" s="1">
        <v>0</v>
      </c>
      <c r="G27" s="1">
        <v>0</v>
      </c>
      <c r="H27" s="1">
        <v>0</v>
      </c>
    </row>
    <row r="28" spans="1:8">
      <c r="A28" s="1" t="s">
        <v>29</v>
      </c>
      <c r="B28" s="2">
        <v>1.021811723709106</v>
      </c>
      <c r="C28" s="1">
        <v>156</v>
      </c>
      <c r="D28" s="1">
        <v>0</v>
      </c>
      <c r="E28" s="1">
        <v>156</v>
      </c>
      <c r="F28" s="1">
        <v>0</v>
      </c>
      <c r="G28" s="1">
        <v>0</v>
      </c>
      <c r="H28" s="1">
        <v>0</v>
      </c>
    </row>
    <row r="29" spans="1:8">
      <c r="A29" s="1" t="s">
        <v>6</v>
      </c>
      <c r="B29" s="2">
        <v>0.9432108402252197</v>
      </c>
      <c r="C29" s="1">
        <v>144</v>
      </c>
      <c r="D29" s="1">
        <v>12</v>
      </c>
      <c r="E29" s="1">
        <v>144</v>
      </c>
      <c r="F29" s="1">
        <v>0</v>
      </c>
      <c r="G29" s="1">
        <v>0</v>
      </c>
      <c r="H29" s="1">
        <v>12</v>
      </c>
    </row>
    <row r="30" spans="1:8">
      <c r="A30" s="1" t="s">
        <v>30</v>
      </c>
      <c r="B30" s="2">
        <v>0.7860090136528015</v>
      </c>
      <c r="C30" s="1">
        <v>120</v>
      </c>
      <c r="D30" s="1">
        <v>0</v>
      </c>
      <c r="E30" s="1">
        <v>120</v>
      </c>
      <c r="F30" s="1">
        <v>0</v>
      </c>
      <c r="G30" s="1">
        <v>0</v>
      </c>
      <c r="H30" s="1">
        <v>0</v>
      </c>
    </row>
    <row r="31" spans="1:8">
      <c r="A31" s="1" t="s">
        <v>31</v>
      </c>
      <c r="B31" s="2">
        <v>0.6419073939323425</v>
      </c>
      <c r="C31" s="1">
        <v>98</v>
      </c>
      <c r="D31" s="1">
        <v>0</v>
      </c>
      <c r="E31" s="1">
        <v>98</v>
      </c>
      <c r="F31" s="1">
        <v>0</v>
      </c>
      <c r="G31" s="1">
        <v>0</v>
      </c>
      <c r="H31" s="1">
        <v>0</v>
      </c>
    </row>
    <row r="32" spans="1:8">
      <c r="A32" s="1" t="s">
        <v>32</v>
      </c>
      <c r="B32" s="2">
        <v>0.4192048311233521</v>
      </c>
      <c r="C32" s="1">
        <v>64</v>
      </c>
      <c r="D32" s="1">
        <v>0</v>
      </c>
      <c r="E32" s="1">
        <v>64</v>
      </c>
      <c r="F32" s="1">
        <v>0</v>
      </c>
      <c r="G32" s="1">
        <v>0</v>
      </c>
      <c r="H32" s="1">
        <v>0</v>
      </c>
    </row>
    <row r="33" spans="1:8">
      <c r="A33" s="1" t="s">
        <v>33</v>
      </c>
      <c r="B33" s="2">
        <v>0.314403623342514</v>
      </c>
      <c r="C33" s="1">
        <v>48</v>
      </c>
      <c r="D33" s="1">
        <v>0</v>
      </c>
      <c r="E33" s="1">
        <v>48</v>
      </c>
      <c r="F33" s="1">
        <v>0</v>
      </c>
      <c r="G33" s="1">
        <v>0</v>
      </c>
      <c r="H33" s="1">
        <v>0</v>
      </c>
    </row>
    <row r="34" spans="1:8">
      <c r="A34" s="1" t="s">
        <v>34</v>
      </c>
      <c r="B34" s="2">
        <v>0.314403623342514</v>
      </c>
      <c r="C34" s="1">
        <v>48</v>
      </c>
      <c r="D34" s="1">
        <v>0</v>
      </c>
      <c r="E34" s="1">
        <v>48</v>
      </c>
      <c r="F34" s="1">
        <v>0</v>
      </c>
      <c r="G34" s="1">
        <v>0</v>
      </c>
      <c r="H34" s="1">
        <v>0</v>
      </c>
    </row>
    <row r="35" spans="1:8">
      <c r="A35" s="1" t="s">
        <v>35</v>
      </c>
      <c r="B35" s="2">
        <v>0.314403623342514</v>
      </c>
      <c r="C35" s="1">
        <v>48</v>
      </c>
      <c r="D35" s="1">
        <v>0</v>
      </c>
      <c r="E35" s="1">
        <v>48</v>
      </c>
      <c r="F35" s="1">
        <v>0</v>
      </c>
      <c r="G35" s="1">
        <v>0</v>
      </c>
      <c r="H35" s="1">
        <v>0</v>
      </c>
    </row>
    <row r="36" spans="1:8">
      <c r="A36" s="1" t="s">
        <v>36</v>
      </c>
      <c r="B36" s="2">
        <v>0.2882033288478851</v>
      </c>
      <c r="C36" s="1">
        <v>44</v>
      </c>
      <c r="D36" s="1">
        <v>0</v>
      </c>
      <c r="E36" s="1">
        <v>44</v>
      </c>
      <c r="F36" s="1">
        <v>0</v>
      </c>
      <c r="G36" s="1">
        <v>0</v>
      </c>
      <c r="H36" s="1">
        <v>0</v>
      </c>
    </row>
    <row r="37" spans="1:8">
      <c r="A37" s="1" t="s">
        <v>37</v>
      </c>
      <c r="B37" s="2">
        <v>0.2489028573036194</v>
      </c>
      <c r="C37" s="1">
        <v>38</v>
      </c>
      <c r="D37" s="1">
        <v>0</v>
      </c>
      <c r="E37" s="1">
        <v>38</v>
      </c>
      <c r="F37" s="1">
        <v>0</v>
      </c>
      <c r="G37" s="1">
        <v>0</v>
      </c>
      <c r="H37" s="1">
        <v>0</v>
      </c>
    </row>
    <row r="38" spans="1:8">
      <c r="A38" s="1" t="s">
        <v>38</v>
      </c>
      <c r="B38" s="2">
        <v>0.2358027100563049</v>
      </c>
      <c r="C38" s="1">
        <v>36</v>
      </c>
      <c r="D38" s="1">
        <v>0</v>
      </c>
      <c r="E38" s="1">
        <v>36</v>
      </c>
      <c r="F38" s="1">
        <v>0</v>
      </c>
      <c r="G38" s="1">
        <v>0</v>
      </c>
      <c r="H38" s="1">
        <v>0</v>
      </c>
    </row>
    <row r="39" spans="1:8">
      <c r="A39" s="1" t="s">
        <v>39</v>
      </c>
      <c r="B39" s="2">
        <v>0.2358027100563049</v>
      </c>
      <c r="C39" s="1">
        <v>36</v>
      </c>
      <c r="D39" s="1">
        <v>0</v>
      </c>
      <c r="E39" s="1">
        <v>36</v>
      </c>
      <c r="F39" s="1">
        <v>0</v>
      </c>
      <c r="G39" s="1">
        <v>0</v>
      </c>
      <c r="H39" s="1">
        <v>0</v>
      </c>
    </row>
    <row r="40" spans="1:8">
      <c r="A40" s="1" t="s">
        <v>40</v>
      </c>
      <c r="B40" s="2">
        <v>0.2358027100563049</v>
      </c>
      <c r="C40" s="1">
        <v>36</v>
      </c>
      <c r="D40" s="1">
        <v>0</v>
      </c>
      <c r="E40" s="1">
        <v>36</v>
      </c>
      <c r="F40" s="1">
        <v>0</v>
      </c>
      <c r="G40" s="1">
        <v>0</v>
      </c>
      <c r="H40" s="1">
        <v>0</v>
      </c>
    </row>
    <row r="41" spans="1:8">
      <c r="A41" s="1" t="s">
        <v>41</v>
      </c>
      <c r="B41" s="2">
        <v>0.209602415561676</v>
      </c>
      <c r="C41" s="1">
        <v>32</v>
      </c>
      <c r="D41" s="1">
        <v>0</v>
      </c>
      <c r="E41" s="1">
        <v>32</v>
      </c>
      <c r="F41" s="1">
        <v>0</v>
      </c>
      <c r="G41" s="1">
        <v>0</v>
      </c>
      <c r="H41" s="1">
        <v>0</v>
      </c>
    </row>
    <row r="42" spans="1:8">
      <c r="A42" s="1" t="s">
        <v>42</v>
      </c>
      <c r="B42" s="2">
        <v>0.1965022534132004</v>
      </c>
      <c r="C42" s="1">
        <v>30</v>
      </c>
      <c r="D42" s="1">
        <v>0</v>
      </c>
      <c r="E42" s="1">
        <v>30</v>
      </c>
      <c r="F42" s="1">
        <v>0</v>
      </c>
      <c r="G42" s="1">
        <v>0</v>
      </c>
      <c r="H42" s="1">
        <v>0</v>
      </c>
    </row>
    <row r="43" spans="1:8">
      <c r="A43" s="1" t="s">
        <v>43</v>
      </c>
      <c r="B43" s="2">
        <v>0.1965022534132004</v>
      </c>
      <c r="C43" s="1">
        <v>30</v>
      </c>
      <c r="D43" s="1">
        <v>0</v>
      </c>
      <c r="E43" s="1">
        <v>30</v>
      </c>
      <c r="F43" s="1">
        <v>0</v>
      </c>
      <c r="G43" s="1">
        <v>0</v>
      </c>
      <c r="H43" s="1">
        <v>0</v>
      </c>
    </row>
    <row r="44" spans="1:8">
      <c r="A44" s="1" t="s">
        <v>44</v>
      </c>
      <c r="B44" s="2">
        <v>0.1965022534132004</v>
      </c>
      <c r="C44" s="1">
        <v>30</v>
      </c>
      <c r="D44" s="1">
        <v>0</v>
      </c>
      <c r="E44" s="1">
        <v>30</v>
      </c>
      <c r="F44" s="1">
        <v>0</v>
      </c>
      <c r="G44" s="1">
        <v>0</v>
      </c>
      <c r="H44" s="1">
        <v>0</v>
      </c>
    </row>
    <row r="45" spans="1:8">
      <c r="A45" s="1" t="s">
        <v>45</v>
      </c>
      <c r="B45" s="2">
        <v>0.1441016644239426</v>
      </c>
      <c r="C45" s="1">
        <v>22</v>
      </c>
      <c r="D45" s="1">
        <v>0</v>
      </c>
      <c r="E45" s="1">
        <v>22</v>
      </c>
      <c r="F45" s="1">
        <v>0</v>
      </c>
      <c r="G45" s="1">
        <v>0</v>
      </c>
      <c r="H45" s="1">
        <v>0</v>
      </c>
    </row>
    <row r="46" spans="1:8">
      <c r="A46" s="1" t="s">
        <v>46</v>
      </c>
      <c r="B46" s="2">
        <v>0.1310015022754669</v>
      </c>
      <c r="C46" s="1">
        <v>20</v>
      </c>
      <c r="D46" s="1">
        <v>0</v>
      </c>
      <c r="E46" s="1">
        <v>20</v>
      </c>
      <c r="F46" s="1">
        <v>0</v>
      </c>
      <c r="G46" s="1">
        <v>0</v>
      </c>
      <c r="H46" s="1">
        <v>0</v>
      </c>
    </row>
    <row r="47" spans="1:8">
      <c r="A47" s="1" t="s">
        <v>8</v>
      </c>
      <c r="B47" s="2">
        <v>0.05240060389041901</v>
      </c>
      <c r="C47" s="1">
        <v>8</v>
      </c>
      <c r="D47" s="1">
        <v>8</v>
      </c>
      <c r="E47" s="1">
        <v>0</v>
      </c>
      <c r="F47" s="1">
        <v>0</v>
      </c>
      <c r="G47" s="1">
        <v>8</v>
      </c>
      <c r="H47" s="1">
        <v>0</v>
      </c>
    </row>
    <row r="48" spans="1:8">
      <c r="A48" s="1" t="s">
        <v>47</v>
      </c>
      <c r="B48" s="2">
        <v>0.05240060389041901</v>
      </c>
      <c r="C48" s="1">
        <v>8</v>
      </c>
      <c r="D48" s="1">
        <v>0</v>
      </c>
      <c r="E48" s="1">
        <v>8</v>
      </c>
      <c r="F48" s="1">
        <v>0</v>
      </c>
      <c r="G48" s="1">
        <v>0</v>
      </c>
      <c r="H48" s="1">
        <v>0</v>
      </c>
    </row>
    <row r="49" spans="1:8">
      <c r="A49" s="1" t="s">
        <v>48</v>
      </c>
      <c r="B49" s="2">
        <v>0.05240060389041901</v>
      </c>
      <c r="C49" s="1">
        <v>8</v>
      </c>
      <c r="D49" s="1">
        <v>0</v>
      </c>
      <c r="E49" s="1">
        <v>8</v>
      </c>
      <c r="F49" s="1">
        <v>0</v>
      </c>
      <c r="G49" s="1">
        <v>0</v>
      </c>
      <c r="H49" s="1">
        <v>0</v>
      </c>
    </row>
    <row r="50" spans="1:8">
      <c r="A50" s="1" t="s">
        <v>9</v>
      </c>
      <c r="B50" s="2">
        <v>0.0262003019452095</v>
      </c>
      <c r="C50" s="1">
        <v>4</v>
      </c>
      <c r="D50" s="1">
        <v>4</v>
      </c>
      <c r="E50" s="1">
        <v>0</v>
      </c>
      <c r="F50" s="1">
        <v>0</v>
      </c>
      <c r="G50" s="1">
        <v>4</v>
      </c>
      <c r="H50" s="1">
        <v>0</v>
      </c>
    </row>
    <row r="51" spans="1:8">
      <c r="A51" s="1" t="s">
        <v>49</v>
      </c>
      <c r="B51" s="2">
        <v>0.0262003019452095</v>
      </c>
      <c r="C51" s="1">
        <v>4</v>
      </c>
      <c r="D51" s="1">
        <v>0</v>
      </c>
      <c r="E51" s="1">
        <v>4</v>
      </c>
      <c r="F51" s="1">
        <v>0</v>
      </c>
      <c r="G51" s="1">
        <v>0</v>
      </c>
      <c r="H51" s="1">
        <v>0</v>
      </c>
    </row>
    <row r="52" spans="1:8">
      <c r="A52" t="s">
        <v>51</v>
      </c>
      <c r="B52">
        <f>SUBTOTAL(109,[flash_percent])</f>
        <v>0</v>
      </c>
      <c r="C52">
        <f>SUBTOTAL(109,[flash])</f>
        <v>0</v>
      </c>
      <c r="D52">
        <f>SUBTOTAL(109,[ram])</f>
        <v>0</v>
      </c>
      <c r="E52">
        <f>SUBTOTAL(109,[Code])</f>
        <v>0</v>
      </c>
      <c r="F52">
        <f>SUBTOTAL(109,[RO_data])</f>
        <v>0</v>
      </c>
      <c r="G52">
        <f>SUBTOTAL(109,[RW_data])</f>
        <v>0</v>
      </c>
      <c r="H5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2026-01-20T09:05:13Z</dcterms:created>
  <dcterms:modified xsi:type="dcterms:W3CDTF">2026-01-20T09:05:13Z</dcterms:modified>
</cp:coreProperties>
</file>