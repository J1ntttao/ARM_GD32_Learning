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<sst xmlns="http://schemas.openxmlformats.org/spreadsheetml/2006/main" count="63" uniqueCount="42">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</sst>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ram_percent!$A$3:$A$34</c:f>
              <c:strCache>
                <c:ptCount val="32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1">
                  <c:v>Totals</c:v>
                </c:pt>
              </c:strCache>
            </c:strRef>
          </c:cat>
          <c:val>
            <c:numRef>
              <c:f>ram_percent!$B$3:$B$34</c:f>
              <c:numCache>
                <c:formatCode>General</c:formatCode>
                <c:ptCount val="32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0.02003882452845573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11">
                  <c:v>0.005009706132113934</c:v>
                </c:pt>
                <c:pt idx="3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flash_percent!$A$3:$A$34</c:f>
              <c:strCache>
                <c:ptCount val="32"/>
                <c:pt idx="0">
                  <c:v>tasks.o</c:v>
                </c:pt>
                <c:pt idx="1">
                  <c:v>port.o</c:v>
                </c:pt>
                <c:pt idx="2">
                  <c:v>queue.o</c:v>
                </c:pt>
                <c:pt idx="3">
                  <c:v>timers.o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main.o</c:v>
                </c:pt>
                <c:pt idx="8">
                  <c:v>usart0.o</c:v>
                </c:pt>
                <c:pt idx="9">
                  <c:v>system_gd32f4xx.o</c:v>
                </c:pt>
                <c:pt idx="10">
                  <c:v>printf3.o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bsp_keys.o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init.o</c:v>
                </c:pt>
                <c:pt idx="20">
                  <c:v>uidiv.o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handlers.o</c:v>
                </c:pt>
                <c:pt idx="25">
                  <c:v>gd32f4xx_exti.o</c:v>
                </c:pt>
                <c:pt idx="26">
                  <c:v>gd32f4xx_it.o</c:v>
                </c:pt>
                <c:pt idx="27">
                  <c:v>entry9a.o</c:v>
                </c:pt>
                <c:pt idx="28">
                  <c:v>entry2.o</c:v>
                </c:pt>
                <c:pt idx="29">
                  <c:v>stdout.o</c:v>
                </c:pt>
                <c:pt idx="30">
                  <c:v>entry5.o</c:v>
                </c:pt>
                <c:pt idx="31">
                  <c:v>Totals</c:v>
                </c:pt>
              </c:strCache>
            </c:strRef>
          </c:cat>
          <c:val>
            <c:numRef>
              <c:f>flash_percent!$B$3:$B$34</c:f>
              <c:numCache>
                <c:formatCode>General</c:formatCode>
                <c:ptCount val="32"/>
                <c:pt idx="0">
                  <c:v>28.83409118652344</c:v>
                </c:pt>
                <c:pt idx="1">
                  <c:v>7.44826602935791</c:v>
                </c:pt>
                <c:pt idx="2">
                  <c:v>7.36895227432251</c:v>
                </c:pt>
                <c:pt idx="3">
                  <c:v>6.770495414733887</c:v>
                </c:pt>
                <c:pt idx="4">
                  <c:v>5.234695911407471</c:v>
                </c:pt>
                <c:pt idx="5">
                  <c:v>4.787655830383301</c:v>
                </c:pt>
                <c:pt idx="6">
                  <c:v>4.268512725830078</c:v>
                </c:pt>
                <c:pt idx="7">
                  <c:v>4.095464706420898</c:v>
                </c:pt>
                <c:pt idx="8">
                  <c:v>4.066623210906982</c:v>
                </c:pt>
                <c:pt idx="9">
                  <c:v>3.850313663482666</c:v>
                </c:pt>
                <c:pt idx="10">
                  <c:v>3.403273582458496</c:v>
                </c:pt>
                <c:pt idx="11">
                  <c:v>3.388852834701538</c:v>
                </c:pt>
                <c:pt idx="12">
                  <c:v>3.129281044006348</c:v>
                </c:pt>
                <c:pt idx="13">
                  <c:v>3.086019277572632</c:v>
                </c:pt>
                <c:pt idx="14">
                  <c:v>2.076573610305786</c:v>
                </c:pt>
                <c:pt idx="15">
                  <c:v>1.975629091262817</c:v>
                </c:pt>
                <c:pt idx="16">
                  <c:v>1.701636791229248</c:v>
                </c:pt>
                <c:pt idx="17">
                  <c:v>1.297858476638794</c:v>
                </c:pt>
                <c:pt idx="18">
                  <c:v>1.081548810005188</c:v>
                </c:pt>
                <c:pt idx="19">
                  <c:v>0.346095621585846</c:v>
                </c:pt>
                <c:pt idx="20">
                  <c:v>0.3172543048858643</c:v>
                </c:pt>
                <c:pt idx="21">
                  <c:v>0.2595717012882233</c:v>
                </c:pt>
                <c:pt idx="22">
                  <c:v>0.2595717012882233</c:v>
                </c:pt>
                <c:pt idx="23">
                  <c:v>0.2595717012882233</c:v>
                </c:pt>
                <c:pt idx="24">
                  <c:v>0.2163097560405731</c:v>
                </c:pt>
                <c:pt idx="25">
                  <c:v>0.2163097560405731</c:v>
                </c:pt>
                <c:pt idx="26">
                  <c:v>0.08652390539646149</c:v>
                </c:pt>
                <c:pt idx="27">
                  <c:v>0.05768259987235069</c:v>
                </c:pt>
                <c:pt idx="28">
                  <c:v>0.05768259987235069</c:v>
                </c:pt>
                <c:pt idx="29">
                  <c:v>0.02884129993617535</c:v>
                </c:pt>
                <c:pt idx="30">
                  <c:v>0.02884129993617535</c:v>
                </c:pt>
                <c:pt idx="3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4" totalsRowCount="1">
  <autoFilter ref="A2:H3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4" totalsRowCount="1">
  <autoFilter ref="A2:H3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3999</v>
      </c>
      <c r="E6" s="1">
        <v>3956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0.02003882452845573</v>
      </c>
      <c r="C9" s="1">
        <v>16</v>
      </c>
      <c r="D9" s="1">
        <v>568</v>
      </c>
      <c r="E9" s="1">
        <v>568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0.005009706132113934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4" spans="1:8">
      <c r="A34" t="s">
        <v>33</v>
      </c>
      <c r="B34">
        <f>SUBTOTAL(109,[ram_percent])</f>
        <v>0</v>
      </c>
      <c r="C34">
        <f>SUBTOTAL(109,[ram])</f>
        <v>0</v>
      </c>
      <c r="D34">
        <f>SUBTOTAL(109,[flash])</f>
        <v>0</v>
      </c>
      <c r="E34">
        <f>SUBTOTAL(109,[Code])</f>
        <v>0</v>
      </c>
      <c r="F34">
        <f>SUBTOTAL(109,[RO_data])</f>
        <v>0</v>
      </c>
      <c r="G34">
        <f>SUBTOTAL(109,[RW_data])</f>
        <v>0</v>
      </c>
      <c r="H3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32</v>
      </c>
      <c r="B2" t="s">
        <v>41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</row>
    <row r="3" spans="1:8">
      <c r="A3" s="1" t="s">
        <v>4</v>
      </c>
      <c r="B3" s="2">
        <v>28.83409118652344</v>
      </c>
      <c r="C3" s="1">
        <v>3999</v>
      </c>
      <c r="D3" s="1">
        <v>800</v>
      </c>
      <c r="E3" s="1">
        <v>3956</v>
      </c>
      <c r="F3" s="1">
        <v>43</v>
      </c>
      <c r="G3" s="1">
        <v>0</v>
      </c>
      <c r="H3" s="1">
        <v>800</v>
      </c>
    </row>
    <row r="4" spans="1:8">
      <c r="A4" s="1" t="s">
        <v>8</v>
      </c>
      <c r="B4" s="2">
        <v>7.44826602935791</v>
      </c>
      <c r="C4" s="1">
        <v>1033</v>
      </c>
      <c r="D4" s="1">
        <v>9</v>
      </c>
      <c r="E4" s="1">
        <v>988</v>
      </c>
      <c r="F4" s="1">
        <v>41</v>
      </c>
      <c r="G4" s="1">
        <v>4</v>
      </c>
      <c r="H4" s="1">
        <v>5</v>
      </c>
    </row>
    <row r="5" spans="1:8">
      <c r="A5" s="1" t="s">
        <v>5</v>
      </c>
      <c r="B5" s="2">
        <v>7.36895227432251</v>
      </c>
      <c r="C5" s="1">
        <v>1022</v>
      </c>
      <c r="D5" s="1">
        <v>64</v>
      </c>
      <c r="E5" s="1">
        <v>1002</v>
      </c>
      <c r="F5" s="1">
        <v>20</v>
      </c>
      <c r="G5" s="1">
        <v>0</v>
      </c>
      <c r="H5" s="1">
        <v>64</v>
      </c>
    </row>
    <row r="6" spans="1:8">
      <c r="A6" s="1" t="s">
        <v>6</v>
      </c>
      <c r="B6" s="2">
        <v>6.770495414733887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5.234695911407471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4.787655830383301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13</v>
      </c>
      <c r="B9" s="2">
        <v>4.268512725830078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7</v>
      </c>
      <c r="B10" s="2">
        <v>4.095464706420898</v>
      </c>
      <c r="C10" s="1">
        <v>568</v>
      </c>
      <c r="D10" s="1">
        <v>16</v>
      </c>
      <c r="E10" s="1">
        <v>568</v>
      </c>
      <c r="F10" s="1">
        <v>0</v>
      </c>
      <c r="G10" s="1">
        <v>0</v>
      </c>
      <c r="H10" s="1">
        <v>16</v>
      </c>
    </row>
    <row r="11" spans="1:8">
      <c r="A11" s="1" t="s">
        <v>2</v>
      </c>
      <c r="B11" s="2">
        <v>4.066623210906982</v>
      </c>
      <c r="C11" s="1">
        <v>564</v>
      </c>
      <c r="D11" s="1">
        <v>1028</v>
      </c>
      <c r="E11" s="1">
        <v>564</v>
      </c>
      <c r="F11" s="1">
        <v>0</v>
      </c>
      <c r="G11" s="1">
        <v>0</v>
      </c>
      <c r="H11" s="1">
        <v>1028</v>
      </c>
    </row>
    <row r="12" spans="1:8">
      <c r="A12" s="1" t="s">
        <v>11</v>
      </c>
      <c r="B12" s="2">
        <v>3.850313663482666</v>
      </c>
      <c r="C12" s="1">
        <v>534</v>
      </c>
      <c r="D12" s="1">
        <v>4</v>
      </c>
      <c r="E12" s="1">
        <v>530</v>
      </c>
      <c r="F12" s="1">
        <v>0</v>
      </c>
      <c r="G12" s="1">
        <v>4</v>
      </c>
      <c r="H12" s="1">
        <v>0</v>
      </c>
    </row>
    <row r="13" spans="1:8">
      <c r="A13" s="1" t="s">
        <v>14</v>
      </c>
      <c r="B13" s="2">
        <v>3.403273582458496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3.388852834701538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3.129281044006348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3.086019277572632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17</v>
      </c>
      <c r="B17" s="2">
        <v>2.076573610305786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18</v>
      </c>
      <c r="B18" s="2">
        <v>1.975629091262817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12</v>
      </c>
      <c r="B19" s="2">
        <v>1.701636791229248</v>
      </c>
      <c r="C19" s="1">
        <v>236</v>
      </c>
      <c r="D19" s="1">
        <v>4</v>
      </c>
      <c r="E19" s="1">
        <v>232</v>
      </c>
      <c r="F19" s="1">
        <v>0</v>
      </c>
      <c r="G19" s="1">
        <v>4</v>
      </c>
      <c r="H19" s="1">
        <v>0</v>
      </c>
    </row>
    <row r="20" spans="1:8">
      <c r="A20" s="1" t="s">
        <v>19</v>
      </c>
      <c r="B20" s="2">
        <v>1.297858476638794</v>
      </c>
      <c r="C20" s="1">
        <v>180</v>
      </c>
      <c r="D20" s="1">
        <v>0</v>
      </c>
      <c r="E20" s="1">
        <v>180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1.081548810005188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0.346095621585846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0.3172543048858643</v>
      </c>
      <c r="C23" s="1">
        <v>44</v>
      </c>
      <c r="D23" s="1">
        <v>0</v>
      </c>
      <c r="E23" s="1">
        <v>44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0.2595717012882233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0.2595717012882233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0.2595717012882233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0.2163097560405731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0.2163097560405731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0.08652390539646149</v>
      </c>
      <c r="C29" s="1">
        <v>12</v>
      </c>
      <c r="D29" s="1">
        <v>0</v>
      </c>
      <c r="E29" s="1">
        <v>12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0.05768259987235069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0.05768259987235069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10</v>
      </c>
      <c r="B32" s="2">
        <v>0.02884129993617535</v>
      </c>
      <c r="C32" s="1">
        <v>4</v>
      </c>
      <c r="D32" s="1">
        <v>4</v>
      </c>
      <c r="E32" s="1">
        <v>0</v>
      </c>
      <c r="F32" s="1">
        <v>0</v>
      </c>
      <c r="G32" s="1">
        <v>4</v>
      </c>
      <c r="H32" s="1">
        <v>0</v>
      </c>
    </row>
    <row r="33" spans="1:8">
      <c r="A33" s="1" t="s">
        <v>31</v>
      </c>
      <c r="B33" s="2">
        <v>0.02884129993617535</v>
      </c>
      <c r="C33" s="1">
        <v>4</v>
      </c>
      <c r="D33" s="1">
        <v>0</v>
      </c>
      <c r="E33" s="1">
        <v>4</v>
      </c>
      <c r="F33" s="1">
        <v>0</v>
      </c>
      <c r="G33" s="1">
        <v>0</v>
      </c>
      <c r="H33" s="1">
        <v>0</v>
      </c>
    </row>
    <row r="34" spans="1:8">
      <c r="A34" t="s">
        <v>33</v>
      </c>
      <c r="B34">
        <f>SUBTOTAL(109,[flash_percent])</f>
        <v>0</v>
      </c>
      <c r="C34">
        <f>SUBTOTAL(109,[flash])</f>
        <v>0</v>
      </c>
      <c r="D34">
        <f>SUBTOTAL(109,[ram])</f>
        <v>0</v>
      </c>
      <c r="E34">
        <f>SUBTOTAL(109,[Code])</f>
        <v>0</v>
      </c>
      <c r="F34">
        <f>SUBTOTAL(109,[RO_data])</f>
        <v>0</v>
      </c>
      <c r="G34">
        <f>SUBTOTAL(109,[RW_data])</f>
        <v>0</v>
      </c>
      <c r="H3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2026-01-10T10:18:17Z</dcterms:created>
  <dcterms:modified xsi:type="dcterms:W3CDTF">2026-01-10T10:18:17Z</dcterms:modified>
</cp:coreProperties>
</file>