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<sst xmlns="http://schemas.openxmlformats.org/spreadsheetml/2006/main" count="73" uniqueCount="53">
  <si>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</si>
  <si>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</si>
  <si>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</si>
  <si>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</si>
  <si>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</si>
  <si>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</si>
  <si>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</si>
  <si>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</si>
  <si>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</si>
  <si>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</si>
  <si>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</si>
  <si>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</si>
  <si>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printfa.o</t>
  </si>
  <si>
    <t>mf_w.l</t>
  </si>
  <si>
    <t>gd32f4xx_usart.o</t>
  </si>
  <si>
    <t>exti.o</t>
  </si>
  <si>
    <t>gd32f4xx_dma.o</t>
  </si>
  <si>
    <t>dadd.o</t>
  </si>
  <si>
    <t>gd32f4xx_rcu.o</t>
  </si>
  <si>
    <t>gd32f4xx_gpio.o</t>
  </si>
  <si>
    <t>dmul.o</t>
  </si>
  <si>
    <t>ddiv.o</t>
  </si>
  <si>
    <t>depilogue.o</t>
  </si>
  <si>
    <t>gd32f4xx_misc.o</t>
  </si>
  <si>
    <t>list.o</t>
  </si>
  <si>
    <t>uldiv.o</t>
  </si>
  <si>
    <t>dfixul.o</t>
  </si>
  <si>
    <t>cdrcmple.o</t>
  </si>
  <si>
    <t>init.o</t>
  </si>
  <si>
    <t>uidiv.o</t>
  </si>
  <si>
    <t>f2d.o</t>
  </si>
  <si>
    <t>puts.o</t>
  </si>
  <si>
    <t>memseta.o</t>
  </si>
  <si>
    <t>memcpya.o</t>
  </si>
  <si>
    <t>llsshr.o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</si>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</sst>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ram_percent!$A$3:$A$45</c:f>
              <c:strCache>
                <c:ptCount val="4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42">
                  <c:v>Totals</c:v>
                </c:pt>
              </c:strCache>
            </c:strRef>
          </c:cat>
          <c:val>
            <c:numRef>
              <c:f>ram_percent!$B$3:$B$45</c:f>
              <c:numCache>
                <c:formatCode>General</c:formatCode>
                <c:ptCount val="43"/>
                <c:pt idx="0">
                  <c:v>96.2117919921875</c:v>
                </c:pt>
                <c:pt idx="1">
                  <c:v>1.287365555763245</c:v>
                </c:pt>
                <c:pt idx="2">
                  <c:v>1.282356381416321</c:v>
                </c:pt>
                <c:pt idx="3">
                  <c:v>1.001840829849243</c:v>
                </c:pt>
                <c:pt idx="4">
                  <c:v>0.08014727383852005</c:v>
                </c:pt>
                <c:pt idx="5">
                  <c:v>0.07513806968927383</c:v>
                </c:pt>
                <c:pt idx="6">
                  <c:v>0.03506442904472351</c:v>
                </c:pt>
                <c:pt idx="7">
                  <c:v>0.01127071026712656</c:v>
                </c:pt>
                <c:pt idx="8">
                  <c:v>0.005009204614907503</c:v>
                </c:pt>
                <c:pt idx="9">
                  <c:v>0.005009204614907503</c:v>
                </c:pt>
                <c:pt idx="10">
                  <c:v>0.005009204614907503</c:v>
                </c:pt>
                <c:pt idx="4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flash_percent!$A$3:$A$45</c:f>
              <c:strCache>
                <c:ptCount val="43"/>
                <c:pt idx="0">
                  <c:v>tasks.o</c:v>
                </c:pt>
                <c:pt idx="1">
                  <c:v>mc_w.l</c:v>
                </c:pt>
                <c:pt idx="2">
                  <c:v>printfa.o</c:v>
                </c:pt>
                <c:pt idx="3">
                  <c:v>queue.o</c:v>
                </c:pt>
                <c:pt idx="4">
                  <c:v>mf_w.l</c:v>
                </c:pt>
                <c:pt idx="5">
                  <c:v>main.o</c:v>
                </c:pt>
                <c:pt idx="6">
                  <c:v>timers.o</c:v>
                </c:pt>
                <c:pt idx="7">
                  <c:v>port.o</c:v>
                </c:pt>
                <c:pt idx="8">
                  <c:v>heap_4.o</c:v>
                </c:pt>
                <c:pt idx="9">
                  <c:v>gd32f4xx_usart.o</c:v>
                </c:pt>
                <c:pt idx="10">
                  <c:v>usart0.o</c:v>
                </c:pt>
                <c:pt idx="11">
                  <c:v>system_gd32f4xx.o</c:v>
                </c:pt>
                <c:pt idx="12">
                  <c:v>exti.o</c:v>
                </c:pt>
                <c:pt idx="13">
                  <c:v>gd32f4xx_dma.o</c:v>
                </c:pt>
                <c:pt idx="14">
                  <c:v>startup_gd32f407_427.o</c:v>
                </c:pt>
                <c:pt idx="15">
                  <c:v>dadd.o</c:v>
                </c:pt>
                <c:pt idx="16">
                  <c:v>gd32f4xx_rcu.o</c:v>
                </c:pt>
                <c:pt idx="17">
                  <c:v>gd32f4xx_gpio.o</c:v>
                </c:pt>
                <c:pt idx="18">
                  <c:v>dmul.o</c:v>
                </c:pt>
                <c:pt idx="19">
                  <c:v>ddiv.o</c:v>
                </c:pt>
                <c:pt idx="20">
                  <c:v>depilogue.o</c:v>
                </c:pt>
                <c:pt idx="21">
                  <c:v>gd32f4xx_misc.o</c:v>
                </c:pt>
                <c:pt idx="22">
                  <c:v>list.o</c:v>
                </c:pt>
                <c:pt idx="23">
                  <c:v>uldiv.o</c:v>
                </c:pt>
                <c:pt idx="24">
                  <c:v>dfixul.o</c:v>
                </c:pt>
                <c:pt idx="25">
                  <c:v>cdrcmple.o</c:v>
                </c:pt>
                <c:pt idx="26">
                  <c:v>init.o</c:v>
                </c:pt>
                <c:pt idx="27">
                  <c:v>uidiv.o</c:v>
                </c:pt>
                <c:pt idx="28">
                  <c:v>f2d.o</c:v>
                </c:pt>
                <c:pt idx="29">
                  <c:v>puts.o</c:v>
                </c:pt>
                <c:pt idx="30">
                  <c:v>memseta.o</c:v>
                </c:pt>
                <c:pt idx="31">
                  <c:v>memcpya.o</c:v>
                </c:pt>
                <c:pt idx="32">
                  <c:v>llsshr.o</c:v>
                </c:pt>
                <c:pt idx="33">
                  <c:v>llushr.o</c:v>
                </c:pt>
                <c:pt idx="34">
                  <c:v>llshl.o</c:v>
                </c:pt>
                <c:pt idx="35">
                  <c:v>handlers.o</c:v>
                </c:pt>
                <c:pt idx="36">
                  <c:v>gd32f4xx_exti.o</c:v>
                </c:pt>
                <c:pt idx="37">
                  <c:v>gd32f4xx_it.o</c:v>
                </c:pt>
                <c:pt idx="38">
                  <c:v>entry9a.o</c:v>
                </c:pt>
                <c:pt idx="39">
                  <c:v>entry2.o</c:v>
                </c:pt>
                <c:pt idx="40">
                  <c:v>stdout.o</c:v>
                </c:pt>
                <c:pt idx="41">
                  <c:v>entry5.o</c:v>
                </c:pt>
                <c:pt idx="42">
                  <c:v>Totals</c:v>
                </c:pt>
              </c:strCache>
            </c:strRef>
          </c:cat>
          <c:val>
            <c:numRef>
              <c:f>flash_percent!$B$3:$B$45</c:f>
              <c:numCache>
                <c:formatCode>General</c:formatCode>
                <c:ptCount val="43"/>
                <c:pt idx="0">
                  <c:v>16.92582893371582</c:v>
                </c:pt>
                <c:pt idx="1">
                  <c:v>13.70162487030029</c:v>
                </c:pt>
                <c:pt idx="2">
                  <c:v>11.46604442596436</c:v>
                </c:pt>
                <c:pt idx="3">
                  <c:v>7.789756298065186</c:v>
                </c:pt>
                <c:pt idx="4">
                  <c:v>5.48462438583374</c:v>
                </c:pt>
                <c:pt idx="5">
                  <c:v>4.739430904388428</c:v>
                </c:pt>
                <c:pt idx="6">
                  <c:v>4.664911270141602</c:v>
                </c:pt>
                <c:pt idx="7">
                  <c:v>4.55561637878418</c:v>
                </c:pt>
                <c:pt idx="8">
                  <c:v>3.298723220825195</c:v>
                </c:pt>
                <c:pt idx="9">
                  <c:v>2.941030263900757</c:v>
                </c:pt>
                <c:pt idx="10">
                  <c:v>2.80192756652832</c:v>
                </c:pt>
                <c:pt idx="11">
                  <c:v>2.652888774871826</c:v>
                </c:pt>
                <c:pt idx="12">
                  <c:v>2.33493971824646</c:v>
                </c:pt>
                <c:pt idx="13">
                  <c:v>2.156093120574951</c:v>
                </c:pt>
                <c:pt idx="14">
                  <c:v>2.126285552978516</c:v>
                </c:pt>
                <c:pt idx="15">
                  <c:v>1.659297585487366</c:v>
                </c:pt>
                <c:pt idx="16">
                  <c:v>1.430771470069885</c:v>
                </c:pt>
                <c:pt idx="17">
                  <c:v>1.361220121383667</c:v>
                </c:pt>
                <c:pt idx="18">
                  <c:v>1.132694125175476</c:v>
                </c:pt>
                <c:pt idx="19">
                  <c:v>1.102886438369751</c:v>
                </c:pt>
                <c:pt idx="20">
                  <c:v>0.9240399599075317</c:v>
                </c:pt>
                <c:pt idx="21">
                  <c:v>0.8942322134971619</c:v>
                </c:pt>
                <c:pt idx="22">
                  <c:v>0.7451934814453125</c:v>
                </c:pt>
                <c:pt idx="23">
                  <c:v>0.4868597686290741</c:v>
                </c:pt>
                <c:pt idx="24">
                  <c:v>0.2384619265794754</c:v>
                </c:pt>
                <c:pt idx="25">
                  <c:v>0.2384619265794754</c:v>
                </c:pt>
                <c:pt idx="26">
                  <c:v>0.2384619265794754</c:v>
                </c:pt>
                <c:pt idx="27">
                  <c:v>0.2185900956392288</c:v>
                </c:pt>
                <c:pt idx="28">
                  <c:v>0.188782349228859</c:v>
                </c:pt>
                <c:pt idx="29">
                  <c:v>0.1788464337587357</c:v>
                </c:pt>
                <c:pt idx="30">
                  <c:v>0.1788464337587357</c:v>
                </c:pt>
                <c:pt idx="31">
                  <c:v>0.1788464337587357</c:v>
                </c:pt>
                <c:pt idx="32">
                  <c:v>0.1788464337587357</c:v>
                </c:pt>
                <c:pt idx="33">
                  <c:v>0.1589746177196503</c:v>
                </c:pt>
                <c:pt idx="34">
                  <c:v>0.149038702249527</c:v>
                </c:pt>
                <c:pt idx="35">
                  <c:v>0.149038702249527</c:v>
                </c:pt>
                <c:pt idx="36">
                  <c:v>0.149038702249527</c:v>
                </c:pt>
                <c:pt idx="37">
                  <c:v>0.05961548164486885</c:v>
                </c:pt>
                <c:pt idx="38">
                  <c:v>0.03974365442991257</c:v>
                </c:pt>
                <c:pt idx="39">
                  <c:v>0.03974365442991257</c:v>
                </c:pt>
                <c:pt idx="40">
                  <c:v>0.01987182721495628</c:v>
                </c:pt>
                <c:pt idx="41">
                  <c:v>0.01987182721495628</c:v>
                </c:pt>
                <c:pt idx="4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5" totalsRowCount="1">
  <autoFilter ref="A2:H4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5" totalsRowCount="1">
  <autoFilter ref="A2:H4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43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</row>
    <row r="3" spans="1:8">
      <c r="A3" s="1" t="s">
        <v>1</v>
      </c>
      <c r="B3" s="2">
        <v>96.2117919921875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1.287365555763245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1.282356381416321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1.001840829849243</v>
      </c>
      <c r="C6" s="1">
        <v>800</v>
      </c>
      <c r="D6" s="1">
        <v>3407</v>
      </c>
      <c r="E6" s="1">
        <v>3364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0.08014727383852005</v>
      </c>
      <c r="C7" s="1">
        <v>64</v>
      </c>
      <c r="D7" s="1">
        <v>1568</v>
      </c>
      <c r="E7" s="1">
        <v>1548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0.07513806968927383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0.03506442904472351</v>
      </c>
      <c r="C9" s="1">
        <v>28</v>
      </c>
      <c r="D9" s="1">
        <v>954</v>
      </c>
      <c r="E9" s="1">
        <v>954</v>
      </c>
      <c r="F9" s="1">
        <v>0</v>
      </c>
      <c r="G9" s="1">
        <v>0</v>
      </c>
      <c r="H9" s="1">
        <v>28</v>
      </c>
    </row>
    <row r="10" spans="1:8">
      <c r="A10" s="1" t="s">
        <v>8</v>
      </c>
      <c r="B10" s="2">
        <v>0.01127071026712656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0.005009204614907503</v>
      </c>
      <c r="C11" s="1">
        <v>4</v>
      </c>
      <c r="D11" s="1">
        <v>2758</v>
      </c>
      <c r="E11" s="1">
        <v>2754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0.005009204614907503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0.005009204614907503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45" spans="1:8">
      <c r="A45" t="s">
        <v>44</v>
      </c>
      <c r="B45">
        <f>SUBTOTAL(109,[ram_percent])</f>
        <v>0</v>
      </c>
      <c r="C45">
        <f>SUBTOTAL(109,[ram])</f>
        <v>0</v>
      </c>
      <c r="D45">
        <f>SUBTOTAL(109,[flash])</f>
        <v>0</v>
      </c>
      <c r="E45">
        <f>SUBTOTAL(109,[Code])</f>
        <v>0</v>
      </c>
      <c r="F45">
        <f>SUBTOTAL(109,[RO_data])</f>
        <v>0</v>
      </c>
      <c r="G45">
        <f>SUBTOTAL(109,[RW_data])</f>
        <v>0</v>
      </c>
      <c r="H4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43</v>
      </c>
      <c r="B2" t="s">
        <v>52</v>
      </c>
      <c r="C2" t="s">
        <v>47</v>
      </c>
      <c r="D2" t="s">
        <v>46</v>
      </c>
      <c r="E2" t="s">
        <v>48</v>
      </c>
      <c r="F2" t="s">
        <v>49</v>
      </c>
      <c r="G2" t="s">
        <v>50</v>
      </c>
      <c r="H2" t="s">
        <v>51</v>
      </c>
    </row>
    <row r="3" spans="1:8">
      <c r="A3" s="1" t="s">
        <v>4</v>
      </c>
      <c r="B3" s="2">
        <v>16.92582893371582</v>
      </c>
      <c r="C3" s="1">
        <v>3407</v>
      </c>
      <c r="D3" s="1">
        <v>800</v>
      </c>
      <c r="E3" s="1">
        <v>3364</v>
      </c>
      <c r="F3" s="1">
        <v>43</v>
      </c>
      <c r="G3" s="1">
        <v>0</v>
      </c>
      <c r="H3" s="1">
        <v>800</v>
      </c>
    </row>
    <row r="4" spans="1:8">
      <c r="A4" s="1" t="s">
        <v>9</v>
      </c>
      <c r="B4" s="2">
        <v>13.70162487030029</v>
      </c>
      <c r="C4" s="1">
        <v>2758</v>
      </c>
      <c r="D4" s="1">
        <v>4</v>
      </c>
      <c r="E4" s="1">
        <v>2754</v>
      </c>
      <c r="F4" s="1">
        <v>0</v>
      </c>
      <c r="G4" s="1">
        <v>4</v>
      </c>
      <c r="H4" s="1">
        <v>0</v>
      </c>
    </row>
    <row r="5" spans="1:8">
      <c r="A5" s="1" t="s">
        <v>12</v>
      </c>
      <c r="B5" s="2">
        <v>11.46604442596436</v>
      </c>
      <c r="C5" s="1">
        <v>2308</v>
      </c>
      <c r="D5" s="1">
        <v>0</v>
      </c>
      <c r="E5" s="1">
        <v>2308</v>
      </c>
      <c r="F5" s="1">
        <v>0</v>
      </c>
      <c r="G5" s="1">
        <v>0</v>
      </c>
      <c r="H5" s="1">
        <v>0</v>
      </c>
    </row>
    <row r="6" spans="1:8">
      <c r="A6" s="1" t="s">
        <v>5</v>
      </c>
      <c r="B6" s="2">
        <v>7.789756298065186</v>
      </c>
      <c r="C6" s="1">
        <v>1568</v>
      </c>
      <c r="D6" s="1">
        <v>64</v>
      </c>
      <c r="E6" s="1">
        <v>1548</v>
      </c>
      <c r="F6" s="1">
        <v>20</v>
      </c>
      <c r="G6" s="1">
        <v>0</v>
      </c>
      <c r="H6" s="1">
        <v>64</v>
      </c>
    </row>
    <row r="7" spans="1:8">
      <c r="A7" s="1" t="s">
        <v>13</v>
      </c>
      <c r="B7" s="2">
        <v>5.48462438583374</v>
      </c>
      <c r="C7" s="1">
        <v>1104</v>
      </c>
      <c r="D7" s="1">
        <v>0</v>
      </c>
      <c r="E7" s="1">
        <v>1104</v>
      </c>
      <c r="F7" s="1">
        <v>0</v>
      </c>
      <c r="G7" s="1">
        <v>0</v>
      </c>
      <c r="H7" s="1">
        <v>0</v>
      </c>
    </row>
    <row r="8" spans="1:8">
      <c r="A8" s="1" t="s">
        <v>7</v>
      </c>
      <c r="B8" s="2">
        <v>4.739430904388428</v>
      </c>
      <c r="C8" s="1">
        <v>954</v>
      </c>
      <c r="D8" s="1">
        <v>28</v>
      </c>
      <c r="E8" s="1">
        <v>954</v>
      </c>
      <c r="F8" s="1">
        <v>0</v>
      </c>
      <c r="G8" s="1">
        <v>0</v>
      </c>
      <c r="H8" s="1">
        <v>28</v>
      </c>
    </row>
    <row r="9" spans="1:8">
      <c r="A9" s="1" t="s">
        <v>6</v>
      </c>
      <c r="B9" s="2">
        <v>4.664911270141602</v>
      </c>
      <c r="C9" s="1">
        <v>939</v>
      </c>
      <c r="D9" s="1">
        <v>60</v>
      </c>
      <c r="E9" s="1">
        <v>918</v>
      </c>
      <c r="F9" s="1">
        <v>21</v>
      </c>
      <c r="G9" s="1">
        <v>0</v>
      </c>
      <c r="H9" s="1">
        <v>60</v>
      </c>
    </row>
    <row r="10" spans="1:8">
      <c r="A10" s="1" t="s">
        <v>8</v>
      </c>
      <c r="B10" s="2">
        <v>4.55561637878418</v>
      </c>
      <c r="C10" s="1">
        <v>917</v>
      </c>
      <c r="D10" s="1">
        <v>9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1</v>
      </c>
      <c r="B11" s="2">
        <v>3.298723220825195</v>
      </c>
      <c r="C11" s="1">
        <v>664</v>
      </c>
      <c r="D11" s="1">
        <v>76828</v>
      </c>
      <c r="E11" s="1">
        <v>626</v>
      </c>
      <c r="F11" s="1">
        <v>38</v>
      </c>
      <c r="G11" s="1">
        <v>0</v>
      </c>
      <c r="H11" s="1">
        <v>76828</v>
      </c>
    </row>
    <row r="12" spans="1:8">
      <c r="A12" s="1" t="s">
        <v>14</v>
      </c>
      <c r="B12" s="2">
        <v>2.941030263900757</v>
      </c>
      <c r="C12" s="1">
        <v>592</v>
      </c>
      <c r="D12" s="1">
        <v>0</v>
      </c>
      <c r="E12" s="1">
        <v>592</v>
      </c>
      <c r="F12" s="1">
        <v>0</v>
      </c>
      <c r="G12" s="1">
        <v>0</v>
      </c>
      <c r="H12" s="1">
        <v>0</v>
      </c>
    </row>
    <row r="13" spans="1:8">
      <c r="A13" s="1" t="s">
        <v>2</v>
      </c>
      <c r="B13" s="2">
        <v>2.80192756652832</v>
      </c>
      <c r="C13" s="1">
        <v>564</v>
      </c>
      <c r="D13" s="1">
        <v>1028</v>
      </c>
      <c r="E13" s="1">
        <v>564</v>
      </c>
      <c r="F13" s="1">
        <v>0</v>
      </c>
      <c r="G13" s="1">
        <v>0</v>
      </c>
      <c r="H13" s="1">
        <v>1028</v>
      </c>
    </row>
    <row r="14" spans="1:8">
      <c r="A14" s="1" t="s">
        <v>11</v>
      </c>
      <c r="B14" s="2">
        <v>2.652888774871826</v>
      </c>
      <c r="C14" s="1">
        <v>534</v>
      </c>
      <c r="D14" s="1">
        <v>4</v>
      </c>
      <c r="E14" s="1">
        <v>530</v>
      </c>
      <c r="F14" s="1">
        <v>0</v>
      </c>
      <c r="G14" s="1">
        <v>4</v>
      </c>
      <c r="H14" s="1">
        <v>0</v>
      </c>
    </row>
    <row r="15" spans="1:8">
      <c r="A15" s="1" t="s">
        <v>15</v>
      </c>
      <c r="B15" s="2">
        <v>2.33493971824646</v>
      </c>
      <c r="C15" s="1">
        <v>470</v>
      </c>
      <c r="D15" s="1">
        <v>0</v>
      </c>
      <c r="E15" s="1">
        <v>470</v>
      </c>
      <c r="F15" s="1">
        <v>0</v>
      </c>
      <c r="G15" s="1">
        <v>0</v>
      </c>
      <c r="H15" s="1">
        <v>0</v>
      </c>
    </row>
    <row r="16" spans="1:8">
      <c r="A16" s="1" t="s">
        <v>16</v>
      </c>
      <c r="B16" s="2">
        <v>2.156093120574951</v>
      </c>
      <c r="C16" s="1">
        <v>434</v>
      </c>
      <c r="D16" s="1">
        <v>0</v>
      </c>
      <c r="E16" s="1">
        <v>434</v>
      </c>
      <c r="F16" s="1">
        <v>0</v>
      </c>
      <c r="G16" s="1">
        <v>0</v>
      </c>
      <c r="H16" s="1">
        <v>0</v>
      </c>
    </row>
    <row r="17" spans="1:8">
      <c r="A17" s="1" t="s">
        <v>3</v>
      </c>
      <c r="B17" s="2">
        <v>2.126285552978516</v>
      </c>
      <c r="C17" s="1">
        <v>428</v>
      </c>
      <c r="D17" s="1">
        <v>1024</v>
      </c>
      <c r="E17" s="1">
        <v>36</v>
      </c>
      <c r="F17" s="1">
        <v>392</v>
      </c>
      <c r="G17" s="1">
        <v>0</v>
      </c>
      <c r="H17" s="1">
        <v>1024</v>
      </c>
    </row>
    <row r="18" spans="1:8">
      <c r="A18" s="1" t="s">
        <v>17</v>
      </c>
      <c r="B18" s="2">
        <v>1.659297585487366</v>
      </c>
      <c r="C18" s="1">
        <v>334</v>
      </c>
      <c r="D18" s="1">
        <v>0</v>
      </c>
      <c r="E18" s="1">
        <v>334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1.430771470069885</v>
      </c>
      <c r="C19" s="1">
        <v>288</v>
      </c>
      <c r="D19" s="1">
        <v>0</v>
      </c>
      <c r="E19" s="1">
        <v>280</v>
      </c>
      <c r="F19" s="1">
        <v>8</v>
      </c>
      <c r="G19" s="1">
        <v>0</v>
      </c>
      <c r="H19" s="1">
        <v>0</v>
      </c>
    </row>
    <row r="20" spans="1:8">
      <c r="A20" s="1" t="s">
        <v>19</v>
      </c>
      <c r="B20" s="2">
        <v>1.361220121383667</v>
      </c>
      <c r="C20" s="1">
        <v>274</v>
      </c>
      <c r="D20" s="1">
        <v>0</v>
      </c>
      <c r="E20" s="1">
        <v>274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1.132694125175476</v>
      </c>
      <c r="C21" s="1">
        <v>228</v>
      </c>
      <c r="D21" s="1">
        <v>0</v>
      </c>
      <c r="E21" s="1">
        <v>228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1.102886438369751</v>
      </c>
      <c r="C22" s="1">
        <v>222</v>
      </c>
      <c r="D22" s="1">
        <v>0</v>
      </c>
      <c r="E22" s="1">
        <v>222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0.9240399599075317</v>
      </c>
      <c r="C23" s="1">
        <v>186</v>
      </c>
      <c r="D23" s="1">
        <v>0</v>
      </c>
      <c r="E23" s="1">
        <v>186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0.8942322134971619</v>
      </c>
      <c r="C24" s="1">
        <v>180</v>
      </c>
      <c r="D24" s="1">
        <v>0</v>
      </c>
      <c r="E24" s="1">
        <v>180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0.7451934814453125</v>
      </c>
      <c r="C25" s="1">
        <v>150</v>
      </c>
      <c r="D25" s="1">
        <v>0</v>
      </c>
      <c r="E25" s="1">
        <v>150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0.4868597686290741</v>
      </c>
      <c r="C26" s="1">
        <v>98</v>
      </c>
      <c r="D26" s="1">
        <v>0</v>
      </c>
      <c r="E26" s="1">
        <v>98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0.2384619265794754</v>
      </c>
      <c r="C27" s="1">
        <v>48</v>
      </c>
      <c r="D27" s="1">
        <v>0</v>
      </c>
      <c r="E27" s="1">
        <v>48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0.2384619265794754</v>
      </c>
      <c r="C28" s="1">
        <v>48</v>
      </c>
      <c r="D28" s="1">
        <v>0</v>
      </c>
      <c r="E28" s="1">
        <v>48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0.2384619265794754</v>
      </c>
      <c r="C29" s="1">
        <v>48</v>
      </c>
      <c r="D29" s="1">
        <v>0</v>
      </c>
      <c r="E29" s="1">
        <v>48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0.2185900956392288</v>
      </c>
      <c r="C30" s="1">
        <v>44</v>
      </c>
      <c r="D30" s="1">
        <v>0</v>
      </c>
      <c r="E30" s="1">
        <v>44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0.188782349228859</v>
      </c>
      <c r="C31" s="1">
        <v>38</v>
      </c>
      <c r="D31" s="1">
        <v>0</v>
      </c>
      <c r="E31" s="1">
        <v>38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0.1788464337587357</v>
      </c>
      <c r="C32" s="1">
        <v>36</v>
      </c>
      <c r="D32" s="1">
        <v>0</v>
      </c>
      <c r="E32" s="1">
        <v>36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0.1788464337587357</v>
      </c>
      <c r="C33" s="1">
        <v>36</v>
      </c>
      <c r="D33" s="1">
        <v>0</v>
      </c>
      <c r="E33" s="1">
        <v>36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0.1788464337587357</v>
      </c>
      <c r="C34" s="1">
        <v>36</v>
      </c>
      <c r="D34" s="1">
        <v>0</v>
      </c>
      <c r="E34" s="1">
        <v>36</v>
      </c>
      <c r="F34" s="1">
        <v>0</v>
      </c>
      <c r="G34" s="1">
        <v>0</v>
      </c>
      <c r="H34" s="1">
        <v>0</v>
      </c>
    </row>
    <row r="35" spans="1:8">
      <c r="A35" s="1" t="s">
        <v>34</v>
      </c>
      <c r="B35" s="2">
        <v>0.1788464337587357</v>
      </c>
      <c r="C35" s="1">
        <v>36</v>
      </c>
      <c r="D35" s="1">
        <v>0</v>
      </c>
      <c r="E35" s="1">
        <v>36</v>
      </c>
      <c r="F35" s="1">
        <v>0</v>
      </c>
      <c r="G35" s="1">
        <v>0</v>
      </c>
      <c r="H35" s="1">
        <v>0</v>
      </c>
    </row>
    <row r="36" spans="1:8">
      <c r="A36" s="1" t="s">
        <v>35</v>
      </c>
      <c r="B36" s="2">
        <v>0.1589746177196503</v>
      </c>
      <c r="C36" s="1">
        <v>32</v>
      </c>
      <c r="D36" s="1">
        <v>0</v>
      </c>
      <c r="E36" s="1">
        <v>32</v>
      </c>
      <c r="F36" s="1">
        <v>0</v>
      </c>
      <c r="G36" s="1">
        <v>0</v>
      </c>
      <c r="H36" s="1">
        <v>0</v>
      </c>
    </row>
    <row r="37" spans="1:8">
      <c r="A37" s="1" t="s">
        <v>36</v>
      </c>
      <c r="B37" s="2">
        <v>0.149038702249527</v>
      </c>
      <c r="C37" s="1">
        <v>30</v>
      </c>
      <c r="D37" s="1">
        <v>0</v>
      </c>
      <c r="E37" s="1">
        <v>30</v>
      </c>
      <c r="F37" s="1">
        <v>0</v>
      </c>
      <c r="G37" s="1">
        <v>0</v>
      </c>
      <c r="H37" s="1">
        <v>0</v>
      </c>
    </row>
    <row r="38" spans="1:8">
      <c r="A38" s="1" t="s">
        <v>37</v>
      </c>
      <c r="B38" s="2">
        <v>0.149038702249527</v>
      </c>
      <c r="C38" s="1">
        <v>30</v>
      </c>
      <c r="D38" s="1">
        <v>0</v>
      </c>
      <c r="E38" s="1">
        <v>30</v>
      </c>
      <c r="F38" s="1">
        <v>0</v>
      </c>
      <c r="G38" s="1">
        <v>0</v>
      </c>
      <c r="H38" s="1">
        <v>0</v>
      </c>
    </row>
    <row r="39" spans="1:8">
      <c r="A39" s="1" t="s">
        <v>38</v>
      </c>
      <c r="B39" s="2">
        <v>0.149038702249527</v>
      </c>
      <c r="C39" s="1">
        <v>30</v>
      </c>
      <c r="D39" s="1">
        <v>0</v>
      </c>
      <c r="E39" s="1">
        <v>30</v>
      </c>
      <c r="F39" s="1">
        <v>0</v>
      </c>
      <c r="G39" s="1">
        <v>0</v>
      </c>
      <c r="H39" s="1">
        <v>0</v>
      </c>
    </row>
    <row r="40" spans="1:8">
      <c r="A40" s="1" t="s">
        <v>39</v>
      </c>
      <c r="B40" s="2">
        <v>0.05961548164486885</v>
      </c>
      <c r="C40" s="1">
        <v>12</v>
      </c>
      <c r="D40" s="1">
        <v>0</v>
      </c>
      <c r="E40" s="1">
        <v>12</v>
      </c>
      <c r="F40" s="1">
        <v>0</v>
      </c>
      <c r="G40" s="1">
        <v>0</v>
      </c>
      <c r="H40" s="1">
        <v>0</v>
      </c>
    </row>
    <row r="41" spans="1:8">
      <c r="A41" s="1" t="s">
        <v>40</v>
      </c>
      <c r="B41" s="2">
        <v>0.03974365442991257</v>
      </c>
      <c r="C41" s="1">
        <v>8</v>
      </c>
      <c r="D41" s="1">
        <v>0</v>
      </c>
      <c r="E41" s="1">
        <v>8</v>
      </c>
      <c r="F41" s="1">
        <v>0</v>
      </c>
      <c r="G41" s="1">
        <v>0</v>
      </c>
      <c r="H41" s="1">
        <v>0</v>
      </c>
    </row>
    <row r="42" spans="1:8">
      <c r="A42" s="1" t="s">
        <v>41</v>
      </c>
      <c r="B42" s="2">
        <v>0.03974365442991257</v>
      </c>
      <c r="C42" s="1">
        <v>8</v>
      </c>
      <c r="D42" s="1">
        <v>0</v>
      </c>
      <c r="E42" s="1">
        <v>8</v>
      </c>
      <c r="F42" s="1">
        <v>0</v>
      </c>
      <c r="G42" s="1">
        <v>0</v>
      </c>
      <c r="H42" s="1">
        <v>0</v>
      </c>
    </row>
    <row r="43" spans="1:8">
      <c r="A43" s="1" t="s">
        <v>10</v>
      </c>
      <c r="B43" s="2">
        <v>0.01987182721495628</v>
      </c>
      <c r="C43" s="1">
        <v>4</v>
      </c>
      <c r="D43" s="1">
        <v>4</v>
      </c>
      <c r="E43" s="1">
        <v>0</v>
      </c>
      <c r="F43" s="1">
        <v>0</v>
      </c>
      <c r="G43" s="1">
        <v>4</v>
      </c>
      <c r="H43" s="1">
        <v>0</v>
      </c>
    </row>
    <row r="44" spans="1:8">
      <c r="A44" s="1" t="s">
        <v>42</v>
      </c>
      <c r="B44" s="2">
        <v>0.01987182721495628</v>
      </c>
      <c r="C44" s="1">
        <v>4</v>
      </c>
      <c r="D44" s="1">
        <v>0</v>
      </c>
      <c r="E44" s="1">
        <v>4</v>
      </c>
      <c r="F44" s="1">
        <v>0</v>
      </c>
      <c r="G44" s="1">
        <v>0</v>
      </c>
      <c r="H44" s="1">
        <v>0</v>
      </c>
    </row>
    <row r="45" spans="1:8">
      <c r="A45" t="s">
        <v>44</v>
      </c>
      <c r="B45">
        <f>SUBTOTAL(109,[flash_percent])</f>
        <v>0</v>
      </c>
      <c r="C45">
        <f>SUBTOTAL(109,[flash])</f>
        <v>0</v>
      </c>
      <c r="D45">
        <f>SUBTOTAL(109,[ram])</f>
        <v>0</v>
      </c>
      <c r="E45">
        <f>SUBTOTAL(109,[Code])</f>
        <v>0</v>
      </c>
      <c r="F45">
        <f>SUBTOTAL(109,[RO_data])</f>
        <v>0</v>
      </c>
      <c r="G45">
        <f>SUBTOTAL(109,[RW_data])</f>
        <v>0</v>
      </c>
      <c r="H4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2026-01-13T02:57:04Z</dcterms:created>
  <dcterms:modified xsi:type="dcterms:W3CDTF">2026-01-13T02:57:04Z</dcterms:modified>
</cp:coreProperties>
</file>